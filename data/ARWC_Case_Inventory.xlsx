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ases" sheetId="2" state="visible" r:id="rId4"/>
    <sheet name="Summary" sheetId="3" state="visible" r:id="rId5"/>
    <sheet name="Sources to mine" sheetId="4" state="visible" r:id="rId6"/>
  </sheets>
  <definedNames>
    <definedName function="false" hidden="true" localSheetId="1" name="_xlnm._FilterDatabase" vbProcedure="false">Cases!$A$1:$P$89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<sst xmlns="http://schemas.openxmlformats.org/spreadsheetml/2006/main" count="1137" uniqueCount="635">
  <si>
    <t xml:space="preserve">ARWC case inventory (draft v0.1, 14 October 2026)</t>
  </si>
  <si>
    <t xml:space="preserve">Purpose: one list of every case already in the registry and every publicly documented case that could be screened for inclusion. Candidate rows are leads, not coded records.</t>
  </si>
  <si>
    <t xml:space="preserve">Status values</t>
  </si>
  <si>
    <t xml:space="preserve">Verified record: published and confirmed by a co-developer.</t>
  </si>
  <si>
    <t xml:space="preserve">Provisional record: coded to Codebook v1.0 and source-checked; awaiting co-developer confirmation.</t>
  </si>
  <si>
    <t xml:space="preserve">Pending: meets the criteria on the sources found, but the official act cannot yet be cited.</t>
  </si>
  <si>
    <t xml:space="preserve">Excluded (worked example): screened and excluded; kept as a worked example.</t>
  </si>
  <si>
    <t xml:space="preserve">Set aside in pilot: considered in the second coded set and not used (never final, or scope undecided).</t>
  </si>
  <si>
    <t xml:space="preserve">Candidate - not screened: listed from an existing archive, database or public reporting; not yet screened against the ARWC criteria.</t>
  </si>
  <si>
    <t xml:space="preserve">Reading the candidate rows</t>
  </si>
  <si>
    <t xml:space="preserve">Years, places and outcomes are as reported by the lead source and have not been checked against judgments. Rows marked 'as recalled; to confirm' were added from general knowledge of well-known cases and need a source before use.</t>
  </si>
  <si>
    <t xml:space="preserve">Finality check is a first guess: Likely = the conviction appears to have been final before correction; Doubtful = correction may have come on ordinary appeal or remand (ARWC excludes these); To check = not enough information.</t>
  </si>
  <si>
    <t xml:space="preserve">Preliminary category is a guess at A, B or C from the reported outcome; a '?' means it depends on documents not yet seen.</t>
  </si>
  <si>
    <t xml:space="preserve">Lead sources: USALI archive pages are linked where search found them. The archive, the Taiwan Innocence Project database and Innocence Project Japan could not be opened directly from the build environment, so their full lists are not included yet (see 'Sources to mine').</t>
  </si>
  <si>
    <t xml:space="preserve">How to edit</t>
  </si>
  <si>
    <t xml:space="preserve">Edit the 'Cases' sheet only: add rows at the bottom, change Status with the dropdown, fill in years and URLs. The 'Summary' sheet recounts automatically.</t>
  </si>
  <si>
    <t xml:space="preserve">To refresh the web page, run: python3 tools/build_inventory_html.py data/ARWC_Case_Inventory.xlsx inventory.html</t>
  </si>
  <si>
    <t xml:space="preserve">Inventory ID</t>
  </si>
  <si>
    <t xml:space="preserve">ARWC ID</t>
  </si>
  <si>
    <t xml:space="preserve">Status</t>
  </si>
  <si>
    <t xml:space="preserve">Person(s)</t>
  </si>
  <si>
    <t xml:space="preserve">Local name</t>
  </si>
  <si>
    <t xml:space="preserve">Jurisdiction</t>
  </si>
  <si>
    <t xml:space="preserve">Place</t>
  </si>
  <si>
    <t xml:space="preserve">Offense (as reported)</t>
  </si>
  <si>
    <t xml:space="preserve">Final conviction (year)</t>
  </si>
  <si>
    <t xml:space="preserve">Correction (year)</t>
  </si>
  <si>
    <t xml:space="preserve">Correction (as reported)</t>
  </si>
  <si>
    <t xml:space="preserve">Preliminary category</t>
  </si>
  <si>
    <t xml:space="preserve">Finality check</t>
  </si>
  <si>
    <t xml:space="preserve">Lead source</t>
  </si>
  <si>
    <t xml:space="preserve">Source URL</t>
  </si>
  <si>
    <t xml:space="preserve">Notes / to check</t>
  </si>
  <si>
    <t xml:space="preserve">INV-001</t>
  </si>
  <si>
    <t xml:space="preserve">ARWC-CHN-0001</t>
  </si>
  <si>
    <t xml:space="preserve">Verified record</t>
  </si>
  <si>
    <t xml:space="preserve">Nie Shubin</t>
  </si>
  <si>
    <t xml:space="preserve">聂树斌</t>
  </si>
  <si>
    <t xml:space="preserve">China</t>
  </si>
  <si>
    <t xml:space="preserve">Hebei</t>
  </si>
  <si>
    <t xml:space="preserve">Murder and rape</t>
  </si>
  <si>
    <t xml:space="preserve">Retrial acquittal (SPC); state compensation 2017</t>
  </si>
  <si>
    <t xml:space="preserve">A, B</t>
  </si>
  <si>
    <t xml:space="preserve">Pass</t>
  </si>
  <si>
    <t xml:space="preserve">ARWC record; also USALI archive</t>
  </si>
  <si>
    <t xml:space="preserve">https://usali.org/wc-case-archive/nie-shubin-case</t>
  </si>
  <si>
    <t xml:space="preserve">INV-002</t>
  </si>
  <si>
    <t xml:space="preserve">ARWC-JPN-001</t>
  </si>
  <si>
    <t xml:space="preserve">Provisional record</t>
  </si>
  <si>
    <t xml:space="preserve">Hakamada Iwao</t>
  </si>
  <si>
    <t xml:space="preserve">袴田巌</t>
  </si>
  <si>
    <t xml:space="preserve">Japan</t>
  </si>
  <si>
    <t xml:space="preserve">Shizuoka</t>
  </si>
  <si>
    <t xml:space="preserve">Robbery-homicide, arson</t>
  </si>
  <si>
    <t xml:space="preserve">Retrial acquittal</t>
  </si>
  <si>
    <t xml:space="preserve">A</t>
  </si>
  <si>
    <t xml:space="preserve">ARWC first set</t>
  </si>
  <si>
    <t xml:space="preserve">https://www.courts.go.jp/hanrei/93622/detail4/index.html</t>
  </si>
  <si>
    <t xml:space="preserve">Awaiting co-developer confirmation</t>
  </si>
  <si>
    <t xml:space="preserve">INV-003</t>
  </si>
  <si>
    <t xml:space="preserve">ARWC-JPN-002</t>
  </si>
  <si>
    <t xml:space="preserve">Sugaya Toshikazu</t>
  </si>
  <si>
    <t xml:space="preserve">菅家利和</t>
  </si>
  <si>
    <t xml:space="preserve">Tochigi</t>
  </si>
  <si>
    <t xml:space="preserve">Kidnapping, murder</t>
  </si>
  <si>
    <t xml:space="preserve">Retrial acquittal; police review</t>
  </si>
  <si>
    <t xml:space="preserve">https://www.courts.go.jp/hanrei/80213/detail4/index.html</t>
  </si>
  <si>
    <t xml:space="preserve">Ashikaga case</t>
  </si>
  <si>
    <t xml:space="preserve">INV-004</t>
  </si>
  <si>
    <t xml:space="preserve">ARWC-TWN-001</t>
  </si>
  <si>
    <t xml:space="preserve">Chiang Kuo-ching</t>
  </si>
  <si>
    <t xml:space="preserve">江國慶</t>
  </si>
  <si>
    <t xml:space="preserve">Taiwan</t>
  </si>
  <si>
    <t xml:space="preserve">Taipei</t>
  </si>
  <si>
    <t xml:space="preserve">Rape (child killed)</t>
  </si>
  <si>
    <t xml:space="preserve">Control Yuan correction 2010; military retrial acquittal 2011</t>
  </si>
  <si>
    <t xml:space="preserve">https://cybsbox.cy.gov.tw/CYBSBoxSSL/edoc/download/50046</t>
  </si>
  <si>
    <t xml:space="preserve">Executed 1997; posthumous</t>
  </si>
  <si>
    <t xml:space="preserve">INV-005</t>
  </si>
  <si>
    <t xml:space="preserve">ARWC-CHN-002</t>
  </si>
  <si>
    <t xml:space="preserve">Zhang Yuhuan</t>
  </si>
  <si>
    <t xml:space="preserve">张玉环</t>
  </si>
  <si>
    <t xml:space="preserve">Jiangxi</t>
  </si>
  <si>
    <t xml:space="preserve">Intentional homicide</t>
  </si>
  <si>
    <t xml:space="preserve">Retrial acquittal; state compensation</t>
  </si>
  <si>
    <t xml:space="preserve">ARWC first set; also USALI archive</t>
  </si>
  <si>
    <t xml:space="preserve">https://usali.org/wc-case-archive/zhang-yuhuan-murder-case</t>
  </si>
  <si>
    <t xml:space="preserve">INV-006</t>
  </si>
  <si>
    <t xml:space="preserve">ARWC-KOR-001</t>
  </si>
  <si>
    <t xml:space="preserve">Yoon Sung-yeo</t>
  </si>
  <si>
    <t xml:space="preserve">윤성여</t>
  </si>
  <si>
    <t xml:space="preserve">Korea</t>
  </si>
  <si>
    <t xml:space="preserve">Gyeonggi</t>
  </si>
  <si>
    <t xml:space="preserve">Murder, rape resulting in death</t>
  </si>
  <si>
    <t xml:space="preserve">Retrial acquittal; state-damages judgment 2022</t>
  </si>
  <si>
    <t xml:space="preserve">Pass (date to confirm)</t>
  </si>
  <si>
    <t xml:space="preserve">https://www.lawtimes.co.kr/news/articleView.html?idxno=166641</t>
  </si>
  <si>
    <t xml:space="preserve">Eighth Hwaseong case</t>
  </si>
  <si>
    <t xml:space="preserve">INV-007</t>
  </si>
  <si>
    <t xml:space="preserve">ARWC-IND-001</t>
  </si>
  <si>
    <t xml:space="preserve">Ankush Maruti Shinde and five others</t>
  </si>
  <si>
    <t xml:space="preserve">India</t>
  </si>
  <si>
    <t xml:space="preserve">Maharashtra</t>
  </si>
  <si>
    <t xml:space="preserve">Murder, gang rape, dacoity</t>
  </si>
  <si>
    <t xml:space="preserve">Supreme Court acquittal after recall on review</t>
  </si>
  <si>
    <t xml:space="preserve">ARWC second set</t>
  </si>
  <si>
    <t xml:space="preserve">https://indiankanoon.org/doc/54814974/</t>
  </si>
  <si>
    <t xml:space="preserve">INV-008</t>
  </si>
  <si>
    <t xml:space="preserve">ARWC-ISR-001</t>
  </si>
  <si>
    <t xml:space="preserve">Roman Zadorov</t>
  </si>
  <si>
    <t xml:space="preserve">רומן זדורוב</t>
  </si>
  <si>
    <t xml:space="preserve">Israel</t>
  </si>
  <si>
    <t xml:space="preserve">Katzrin</t>
  </si>
  <si>
    <t xml:space="preserve">Murder</t>
  </si>
  <si>
    <t xml:space="preserve">https://www.gov.il/BlobFolder/dynamiccollectorresultitem/decision502-07/he/502-07.pdf</t>
  </si>
  <si>
    <t xml:space="preserve">INV-009</t>
  </si>
  <si>
    <t xml:space="preserve">ARWC-PAK-001</t>
  </si>
  <si>
    <t xml:space="preserve">Zulfikar Ali Bhutto</t>
  </si>
  <si>
    <t xml:space="preserve">ذوالفقار علی بھٹو</t>
  </si>
  <si>
    <t xml:space="preserve">Pakistan</t>
  </si>
  <si>
    <t xml:space="preserve">Lahore</t>
  </si>
  <si>
    <t xml:space="preserve">Murder (conspiracy, abetment)</t>
  </si>
  <si>
    <t xml:space="preserve">Supreme Court advisory opinion: no fair trial; conviction stands</t>
  </si>
  <si>
    <t xml:space="preserve">B</t>
  </si>
  <si>
    <t xml:space="preserve">https://www.dawn.com/news/1819573</t>
  </si>
  <si>
    <t xml:space="preserve">Executed 1979</t>
  </si>
  <si>
    <t xml:space="preserve">INV-010</t>
  </si>
  <si>
    <t xml:space="preserve">ARWC-SGP-001</t>
  </si>
  <si>
    <t xml:space="preserve">Ilechukwu Uchechukwu Chukwudi</t>
  </si>
  <si>
    <t xml:space="preserve">Singapore</t>
  </si>
  <si>
    <t xml:space="preserve">Drug trafficking (capital)</t>
  </si>
  <si>
    <t xml:space="preserve">Acquittal on reopening of concluded appeal</t>
  </si>
  <si>
    <t xml:space="preserve">https://www.elitigation.sg/gd/s/2020_SGCA_90</t>
  </si>
  <si>
    <t xml:space="preserve">INV-011</t>
  </si>
  <si>
    <t xml:space="preserve">ARWC-VNM-001</t>
  </si>
  <si>
    <t xml:space="preserve">Nguyen Thanh Chan</t>
  </si>
  <si>
    <t xml:space="preserve">Nguyễn Thanh Chấn</t>
  </si>
  <si>
    <t xml:space="preserve">Vietnam</t>
  </si>
  <si>
    <t xml:space="preserve">Bắc Giang</t>
  </si>
  <si>
    <t xml:space="preserve">Final judgments annulled on reopening; apology and compensation 2015</t>
  </si>
  <si>
    <t xml:space="preserve">https://baochinhphu.vn/tam-dinh-chi-thi-hanh-an-tu-chung-than-1-pham-nhan-102152351.htm</t>
  </si>
  <si>
    <t xml:space="preserve">INV-012</t>
  </si>
  <si>
    <t xml:space="preserve">ARWC-IDN-001</t>
  </si>
  <si>
    <t xml:space="preserve">Pending</t>
  </si>
  <si>
    <t xml:space="preserve">Sengkon and Karta</t>
  </si>
  <si>
    <t xml:space="preserve">Indonesia</t>
  </si>
  <si>
    <t xml:space="preserve">Bekasi</t>
  </si>
  <si>
    <t xml:space="preserve">Robbery and murder</t>
  </si>
  <si>
    <t xml:space="preserve">Supreme Court review (PK) granted, as reported</t>
  </si>
  <si>
    <t xml:space="preserve">Likely (date to confirm)</t>
  </si>
  <si>
    <t xml:space="preserve">https://www.thejakartapost.com/news/2008/09/02/editorial-defending-wrong-judgment.html</t>
  </si>
  <si>
    <t xml:space="preserve">Documentation FAIL until the PK decision is cited</t>
  </si>
  <si>
    <t xml:space="preserve">INV-013</t>
  </si>
  <si>
    <t xml:space="preserve">EXC-HKG-001</t>
  </si>
  <si>
    <t xml:space="preserve">Excluded (worked example)</t>
  </si>
  <si>
    <t xml:space="preserve">A (anonymized)</t>
  </si>
  <si>
    <t xml:space="preserve">Hong Kong</t>
  </si>
  <si>
    <t xml:space="preserve">Conspiracy to rob</t>
  </si>
  <si>
    <t xml:space="preserve">Quashed on ordinary appeal</t>
  </si>
  <si>
    <t xml:space="preserve">Fail</t>
  </si>
  <si>
    <t xml:space="preserve">https://www.doj.gov.hk/en/notable_judgments/pdf/HCAL_176_2018e.pdf</t>
  </si>
  <si>
    <t xml:space="preserve">Worked exclusion: never final</t>
  </si>
  <si>
    <t xml:space="preserve">INV-014</t>
  </si>
  <si>
    <t xml:space="preserve">Set aside in pilot</t>
  </si>
  <si>
    <t xml:space="preserve">Hubert Webb and co-accused (Vizconde case)</t>
  </si>
  <si>
    <t xml:space="preserve">Philippines</t>
  </si>
  <si>
    <t xml:space="preserve">Rape with homicide</t>
  </si>
  <si>
    <t xml:space="preserve">Supreme Court acquittal on appeal</t>
  </si>
  <si>
    <t xml:space="preserve">ARWC second set (candidates list)</t>
  </si>
  <si>
    <t xml:space="preserve">Corrected on ordinary appeal</t>
  </si>
  <si>
    <t xml:space="preserve">INV-015</t>
  </si>
  <si>
    <t xml:space="preserve">Asia Bibi</t>
  </si>
  <si>
    <t xml:space="preserve">Blasphemy</t>
  </si>
  <si>
    <t xml:space="preserve">INV-016</t>
  </si>
  <si>
    <t xml:space="preserve">Sandeep Lamichhane</t>
  </si>
  <si>
    <t xml:space="preserve">Nepal</t>
  </si>
  <si>
    <t xml:space="preserve">Rape</t>
  </si>
  <si>
    <t xml:space="preserve">High Court acquittal on appeal</t>
  </si>
  <si>
    <t xml:space="preserve">INV-017</t>
  </si>
  <si>
    <t xml:space="preserve">Born Samnang and Sok Sam Oeun</t>
  </si>
  <si>
    <t xml:space="preserve">Cambodia</t>
  </si>
  <si>
    <t xml:space="preserve">Decided within appeal and cassation chain, as reported</t>
  </si>
  <si>
    <t xml:space="preserve">Doubtful</t>
  </si>
  <si>
    <t xml:space="preserve">Not checked further</t>
  </si>
  <si>
    <t xml:space="preserve">INV-018</t>
  </si>
  <si>
    <t xml:space="preserve">Ilgar Mammadov</t>
  </si>
  <si>
    <t xml:space="preserve">Azerbaijan</t>
  </si>
  <si>
    <t xml:space="preserve">Organizing mass disorder</t>
  </si>
  <si>
    <t xml:space="preserve">Supreme Court acquittal after ECtHR judgments</t>
  </si>
  <si>
    <t xml:space="preserve">A?</t>
  </si>
  <si>
    <t xml:space="preserve">To check</t>
  </si>
  <si>
    <t xml:space="preserve">Region scope (South Caucasus) undecided; political case</t>
  </si>
  <si>
    <t xml:space="preserve">INV-019</t>
  </si>
  <si>
    <t xml:space="preserve">Sledgehammer (Balyoz) defendants</t>
  </si>
  <si>
    <t xml:space="preserve">Turkey</t>
  </si>
  <si>
    <t xml:space="preserve">Coup plot</t>
  </si>
  <si>
    <t xml:space="preserve">Retrial acquittal after Constitutional Court ruling</t>
  </si>
  <si>
    <t xml:space="preserve">Region scope (Anatolia) undecided; political case</t>
  </si>
  <si>
    <t xml:space="preserve">INV-020</t>
  </si>
  <si>
    <t xml:space="preserve">Anwar Ibrahim</t>
  </si>
  <si>
    <t xml:space="preserve">Malaysia</t>
  </si>
  <si>
    <t xml:space="preserve">Sodomy</t>
  </si>
  <si>
    <t xml:space="preserve">Full royal pardon</t>
  </si>
  <si>
    <t xml:space="preserve">C?</t>
  </si>
  <si>
    <t xml:space="preserve">Qualifies only if documents tie pardon to wrongful-conviction concerns</t>
  </si>
  <si>
    <t xml:space="preserve">INV-021</t>
  </si>
  <si>
    <t xml:space="preserve">Candidate - not screened</t>
  </si>
  <si>
    <t xml:space="preserve">She Xianglin</t>
  </si>
  <si>
    <t xml:space="preserve">佘祥林</t>
  </si>
  <si>
    <t xml:space="preserve">Hubei</t>
  </si>
  <si>
    <t xml:space="preserve">Retrial acquittal; alleged victim reappeared</t>
  </si>
  <si>
    <t xml:space="preserve">Likely</t>
  </si>
  <si>
    <t xml:space="preserve">USALI archive</t>
  </si>
  <si>
    <t xml:space="preserve">https://usali.org/wc-case-archive/she-xianglin-case</t>
  </si>
  <si>
    <t xml:space="preserve">INV-022</t>
  </si>
  <si>
    <t xml:space="preserve">Zhao Zuohai</t>
  </si>
  <si>
    <t xml:space="preserve">赵作海</t>
  </si>
  <si>
    <t xml:space="preserve">Henan</t>
  </si>
  <si>
    <t xml:space="preserve">https://usali.org/wc-case-archive/zhao-zuohai-case</t>
  </si>
  <si>
    <t xml:space="preserve">INV-023</t>
  </si>
  <si>
    <t xml:space="preserve">Huugjilt (Huge Jiletu)</t>
  </si>
  <si>
    <t xml:space="preserve">呼格吉勒图</t>
  </si>
  <si>
    <t xml:space="preserve">Inner Mongolia</t>
  </si>
  <si>
    <t xml:space="preserve">Rape and murder</t>
  </si>
  <si>
    <t xml:space="preserve">Posthumous retrial acquittal; executed 1996</t>
  </si>
  <si>
    <t xml:space="preserve">https://usali.org/wc-case-archive/huge-jiletu-case</t>
  </si>
  <si>
    <t xml:space="preserve">Another man later confessed</t>
  </si>
  <si>
    <t xml:space="preserve">INV-024</t>
  </si>
  <si>
    <t xml:space="preserve">Zhang Hui and Zhang Gaoping</t>
  </si>
  <si>
    <t xml:space="preserve">张辉、张高平</t>
  </si>
  <si>
    <t xml:space="preserve">Zhejiang</t>
  </si>
  <si>
    <t xml:space="preserve">Rape (victim killed)</t>
  </si>
  <si>
    <t xml:space="preserve">A, B?</t>
  </si>
  <si>
    <t xml:space="preserve">https://usali.org/wc-case-archive/zhang-hui-zhang-gaoping-case</t>
  </si>
  <si>
    <t xml:space="preserve">Jailhouse informant evidence</t>
  </si>
  <si>
    <t xml:space="preserve">INV-025</t>
  </si>
  <si>
    <t xml:space="preserve">Tian Weidong and four others</t>
  </si>
  <si>
    <t xml:space="preserve">田伟冬等五人</t>
  </si>
  <si>
    <t xml:space="preserve">Zhejiang (Xiaoshan)</t>
  </si>
  <si>
    <t xml:space="preserve">https://usali.org/wc-case-archive/tian-weidong-case</t>
  </si>
  <si>
    <t xml:space="preserve">Xiaoshan five; real perpetrator confessed</t>
  </si>
  <si>
    <t xml:space="preserve">INV-026</t>
  </si>
  <si>
    <t xml:space="preserve">Du Peiwu</t>
  </si>
  <si>
    <t xml:space="preserve">杜培武</t>
  </si>
  <si>
    <t xml:space="preserve">Yunnan</t>
  </si>
  <si>
    <t xml:space="preserve">Acquittal by Yunnan High Court after real perpetrator found</t>
  </si>
  <si>
    <t xml:space="preserve">https://usali.org/wc-case-archive/du-peiwu-case</t>
  </si>
  <si>
    <t xml:space="preserve">Check whether conviction was final before 2000</t>
  </si>
  <si>
    <t xml:space="preserve">INV-027</t>
  </si>
  <si>
    <t xml:space="preserve">Bai Chunrong</t>
  </si>
  <si>
    <t xml:space="preserve">白春荣</t>
  </si>
  <si>
    <t xml:space="preserve">Guangdong (Foshan)</t>
  </si>
  <si>
    <t xml:space="preserve">Theft</t>
  </si>
  <si>
    <t xml:space="preserve">Acquittal on insufficient evidence</t>
  </si>
  <si>
    <t xml:space="preserve">https://usali.org/wc-case-archive/bai-chun-rong-case</t>
  </si>
  <si>
    <t xml:space="preserve">Sentence already served</t>
  </si>
  <si>
    <t xml:space="preserve">INV-028</t>
  </si>
  <si>
    <t xml:space="preserve">Shen Liujin (Fang Weishe)</t>
  </si>
  <si>
    <t xml:space="preserve">沈六斤</t>
  </si>
  <si>
    <t xml:space="preserve">High court acquittal on misidentification</t>
  </si>
  <si>
    <t xml:space="preserve">https://usali.org/wc-case-archive/shen-liujin-murder-case</t>
  </si>
  <si>
    <t xml:space="preserve">INV-029</t>
  </si>
  <si>
    <t xml:space="preserve">Guo Li</t>
  </si>
  <si>
    <t xml:space="preserve">郭利</t>
  </si>
  <si>
    <t xml:space="preserve">Guangdong</t>
  </si>
  <si>
    <t xml:space="preserve">Extortion</t>
  </si>
  <si>
    <t xml:space="preserve">Acquittal, as reported</t>
  </si>
  <si>
    <t xml:space="preserve">https://usali.org/wc-case-archive/guo-li-racketeering-case</t>
  </si>
  <si>
    <t xml:space="preserve">INV-030</t>
  </si>
  <si>
    <t xml:space="preserve">Zeng Fannian</t>
  </si>
  <si>
    <t xml:space="preserve">曾凡年</t>
  </si>
  <si>
    <t xml:space="preserve">https://usali.org/wc-case-archive/zeng-fannian-extortion-case</t>
  </si>
  <si>
    <t xml:space="preserve">INV-031</t>
  </si>
  <si>
    <t xml:space="preserve">Zeng Aiyun</t>
  </si>
  <si>
    <t xml:space="preserve">曾爱云</t>
  </si>
  <si>
    <t xml:space="preserve">Hunan (Xiangtan)</t>
  </si>
  <si>
    <t xml:space="preserve">https://usali.org/wc-case-archive/zeng-aiyun-murder-case</t>
  </si>
  <si>
    <t xml:space="preserve">2004 conviction vacated on appeal in 2005; may never have been final</t>
  </si>
  <si>
    <t xml:space="preserve">INV-032</t>
  </si>
  <si>
    <t xml:space="preserve">Qian Renfeng</t>
  </si>
  <si>
    <t xml:space="preserve">钱仁风</t>
  </si>
  <si>
    <t xml:space="preserve">Poisoning</t>
  </si>
  <si>
    <t xml:space="preserve">Retrial ordered 2015; outcome to check</t>
  </si>
  <si>
    <t xml:space="preserve">https://usali.org/wc-case-archive/qian-renfeng-poison-case</t>
  </si>
  <si>
    <t xml:space="preserve">INV-033</t>
  </si>
  <si>
    <t xml:space="preserve">Fang Junjin</t>
  </si>
  <si>
    <t xml:space="preserve">方俊金</t>
  </si>
  <si>
    <t xml:space="preserve">Illegal intrusion into a dwelling</t>
  </si>
  <si>
    <t xml:space="preserve">https://usali.org/wc-case-archive/fang-junjin-case</t>
  </si>
  <si>
    <t xml:space="preserve">INV-034</t>
  </si>
  <si>
    <t xml:space="preserve">Tan Xiuyi</t>
  </si>
  <si>
    <t xml:space="preserve">谭修义</t>
  </si>
  <si>
    <t xml:space="preserve">Exonerated, as reported</t>
  </si>
  <si>
    <t xml:space="preserve">https://usali.org/wc-case-archive/tan-xiuyi-rape-and-murder-case</t>
  </si>
  <si>
    <t xml:space="preserve">1993 offense</t>
  </si>
  <si>
    <t xml:space="preserve">INV-035</t>
  </si>
  <si>
    <t xml:space="preserve">Lu Rongxin</t>
  </si>
  <si>
    <t xml:space="preserve">卢荣新</t>
  </si>
  <si>
    <t xml:space="preserve">High court acquittal; DNA did not match</t>
  </si>
  <si>
    <t xml:space="preserve">https://usali.org/wc-case-archive/lu-rongxin-rape-and-murder-case</t>
  </si>
  <si>
    <t xml:space="preserve">Death sentence 2015, acquitted 2017: check whether ever final</t>
  </si>
  <si>
    <t xml:space="preserve">INV-036</t>
  </si>
  <si>
    <t xml:space="preserve">Wang Benyu</t>
  </si>
  <si>
    <t xml:space="preserve">王本余</t>
  </si>
  <si>
    <t xml:space="preserve">Murder and rape of a girl</t>
  </si>
  <si>
    <t xml:space="preserve">Acquittal after real perpetrator confessed</t>
  </si>
  <si>
    <t xml:space="preserve">https://usali.org/wc-case-archive/wang-benyu-case</t>
  </si>
  <si>
    <t xml:space="preserve">INV-037</t>
  </si>
  <si>
    <t xml:space="preserve">Zhang Guangxiang</t>
  </si>
  <si>
    <t xml:space="preserve">张光祥</t>
  </si>
  <si>
    <t xml:space="preserve">Guizhou</t>
  </si>
  <si>
    <t xml:space="preserve">Robbery</t>
  </si>
  <si>
    <t xml:space="preserve">Acquittal about ten years after incarceration, as reported</t>
  </si>
  <si>
    <t xml:space="preserve">https://usali.org/wc-case-archive/new-zhang-guangxiang-robbery-case-</t>
  </si>
  <si>
    <t xml:space="preserve">1999 offense</t>
  </si>
  <si>
    <t xml:space="preserve">INV-038</t>
  </si>
  <si>
    <t xml:space="preserve">Yang Botao</t>
  </si>
  <si>
    <t xml:space="preserve">杨波涛</t>
  </si>
  <si>
    <t xml:space="preserve">Henan (Shangqiu)</t>
  </si>
  <si>
    <t xml:space="preserve">https://usali.org/wc-case-archive/yang-botao-case</t>
  </si>
  <si>
    <t xml:space="preserve">INV-039</t>
  </si>
  <si>
    <t xml:space="preserve">Wu Chunhong</t>
  </si>
  <si>
    <t xml:space="preserve">吴春红</t>
  </si>
  <si>
    <t xml:space="preserve">Henan (Minquan)</t>
  </si>
  <si>
    <t xml:space="preserve">Intentional homicide (poisoning)</t>
  </si>
  <si>
    <t xml:space="preserve">https://usali.org/wc-case-archive/wu-chunhong-murder-case</t>
  </si>
  <si>
    <t xml:space="preserve">Life sentence on fourth conviction</t>
  </si>
  <si>
    <t xml:space="preserve">INV-040</t>
  </si>
  <si>
    <t xml:space="preserve">Li Huailiang</t>
  </si>
  <si>
    <t xml:space="preserve">李怀亮</t>
  </si>
  <si>
    <t xml:space="preserve">Acquittal</t>
  </si>
  <si>
    <t xml:space="preserve">https://usali.org/wc-case-archive/li-huailiang-case</t>
  </si>
  <si>
    <t xml:space="preserve">Repeated remands: check whether ever final</t>
  </si>
  <si>
    <t xml:space="preserve">INV-041</t>
  </si>
  <si>
    <t xml:space="preserve">Sun Wangang</t>
  </si>
  <si>
    <t xml:space="preserve">孙万刚</t>
  </si>
  <si>
    <t xml:space="preserve">https://usali.org/wc-case-archive/sun-wangang-case</t>
  </si>
  <si>
    <t xml:space="preserve">INV-042</t>
  </si>
  <si>
    <t xml:space="preserve">Yang Dewu</t>
  </si>
  <si>
    <t xml:space="preserve">杨德武</t>
  </si>
  <si>
    <t xml:space="preserve">Anhui</t>
  </si>
  <si>
    <t xml:space="preserve">Acquittal after case reopened</t>
  </si>
  <si>
    <t xml:space="preserve">https://usali.org/wc-case-archive/yang-dewu-murder-case</t>
  </si>
  <si>
    <t xml:space="preserve">INV-043</t>
  </si>
  <si>
    <t xml:space="preserve">Zheng Yonglin</t>
  </si>
  <si>
    <t xml:space="preserve">郑永林</t>
  </si>
  <si>
    <t xml:space="preserve">https://usali.org/wc-case-archive/zheng-yonglin-case</t>
  </si>
  <si>
    <t xml:space="preserve">INV-044</t>
  </si>
  <si>
    <t xml:space="preserve">Yu Yingsheng</t>
  </si>
  <si>
    <t xml:space="preserve">于英生</t>
  </si>
  <si>
    <t xml:space="preserve">Retrial acquittal; police officer later identified</t>
  </si>
  <si>
    <t xml:space="preserve">https://usali.org/wc-case-archive/yu-yingsheng-case</t>
  </si>
  <si>
    <r>
      <rPr>
        <sz val="10"/>
        <rFont val="Arial"/>
        <family val="0"/>
        <charset val="1"/>
      </rPr>
      <t xml:space="preserve">Archive title gives </t>
    </r>
    <r>
      <rPr>
        <sz val="10"/>
        <rFont val="WenQuanYi Zen Hei"/>
        <family val="2"/>
      </rPr>
      <t xml:space="preserve">余英生</t>
    </r>
    <r>
      <rPr>
        <sz val="10"/>
        <rFont val="Arial"/>
        <family val="0"/>
        <charset val="1"/>
      </rPr>
      <t xml:space="preserve">; check characters</t>
    </r>
  </si>
  <si>
    <t xml:space="preserve">INV-045</t>
  </si>
  <si>
    <t xml:space="preserve">Xie Zhehai</t>
  </si>
  <si>
    <t xml:space="preserve">谢哲海</t>
  </si>
  <si>
    <t xml:space="preserve">Acquittal by Henan High Court, insufficient evidence</t>
  </si>
  <si>
    <t xml:space="preserve">https://usali.org/new-and-notable/new-additions-to-wrongful-convictions-case-archive</t>
  </si>
  <si>
    <t xml:space="preserve">INV-046</t>
  </si>
  <si>
    <t xml:space="preserve">Liu Zhonglin</t>
  </si>
  <si>
    <t xml:space="preserve">刘忠林</t>
  </si>
  <si>
    <t xml:space="preserve">Jilin</t>
  </si>
  <si>
    <t xml:space="preserve">INV-047</t>
  </si>
  <si>
    <t xml:space="preserve">Chen Man</t>
  </si>
  <si>
    <t xml:space="preserve">陈满</t>
  </si>
  <si>
    <t xml:space="preserve">Hainan</t>
  </si>
  <si>
    <t xml:space="preserve">Murder and arson</t>
  </si>
  <si>
    <t xml:space="preserve">Retrial acquittal on procuratorate protest</t>
  </si>
  <si>
    <t xml:space="preserve">https://usali.org/wc-case-archive</t>
  </si>
  <si>
    <t xml:space="preserve">Case page URL to find</t>
  </si>
  <si>
    <t xml:space="preserve">INV-048</t>
  </si>
  <si>
    <t xml:space="preserve">Nian Bin</t>
  </si>
  <si>
    <t xml:space="preserve">念斌</t>
  </si>
  <si>
    <t xml:space="preserve">Fujian</t>
  </si>
  <si>
    <t xml:space="preserve">Acquittal by Fujian High Court</t>
  </si>
  <si>
    <t xml:space="preserve">Acquitted after remands; check whether conviction was ever final</t>
  </si>
  <si>
    <t xml:space="preserve">INV-049</t>
  </si>
  <si>
    <t xml:space="preserve">Zhang Xinliang</t>
  </si>
  <si>
    <t xml:space="preserve">张新亮</t>
  </si>
  <si>
    <t xml:space="preserve">Tagged forced confession, jailhouse informant</t>
  </si>
  <si>
    <t xml:space="preserve">INV-050</t>
  </si>
  <si>
    <t xml:space="preserve">Yang Ming</t>
  </si>
  <si>
    <t xml:space="preserve">杨明</t>
  </si>
  <si>
    <t xml:space="preserve">INV-051</t>
  </si>
  <si>
    <t xml:space="preserve">Jin Zhehong</t>
  </si>
  <si>
    <t xml:space="preserve">金哲宏</t>
  </si>
  <si>
    <t xml:space="preserve">Retrial acquittal (as recalled; to confirm)</t>
  </si>
  <si>
    <t xml:space="preserve">Media; check USALI archive</t>
  </si>
  <si>
    <t xml:space="preserve">INV-052</t>
  </si>
  <si>
    <t xml:space="preserve">Li Jinlian</t>
  </si>
  <si>
    <t xml:space="preserve">李锦莲</t>
  </si>
  <si>
    <t xml:space="preserve">INV-053</t>
  </si>
  <si>
    <t xml:space="preserve">Huang Jiaguang</t>
  </si>
  <si>
    <t xml:space="preserve">黄家光</t>
  </si>
  <si>
    <t xml:space="preserve">INV-054</t>
  </si>
  <si>
    <t xml:space="preserve">Xu Hui</t>
  </si>
  <si>
    <t xml:space="preserve">徐辉</t>
  </si>
  <si>
    <t xml:space="preserve">INV-055</t>
  </si>
  <si>
    <t xml:space="preserve">Teng Xingshan</t>
  </si>
  <si>
    <t xml:space="preserve">滕兴善</t>
  </si>
  <si>
    <t xml:space="preserve">Hunan</t>
  </si>
  <si>
    <t xml:space="preserve">Posthumous retrial acquittal; executed 1989 (as recalled; to confirm)</t>
  </si>
  <si>
    <t xml:space="preserve">Alleged victim reported alive</t>
  </si>
  <si>
    <t xml:space="preserve">INV-056</t>
  </si>
  <si>
    <t xml:space="preserve">Menda Sakae</t>
  </si>
  <si>
    <t xml:space="preserve">免田栄</t>
  </si>
  <si>
    <t xml:space="preserve">Kumamoto</t>
  </si>
  <si>
    <t xml:space="preserve">Robbery-murder</t>
  </si>
  <si>
    <t xml:space="preserve">Retrial acquittal; death row</t>
  </si>
  <si>
    <t xml:space="preserve">Postwar death-row retrials; IPJ / JFBA</t>
  </si>
  <si>
    <r>
      <rPr>
        <sz val="10"/>
        <rFont val="Arial"/>
        <family val="0"/>
        <charset val="1"/>
      </rPr>
      <t xml:space="preserve">Menda case (</t>
    </r>
    <r>
      <rPr>
        <sz val="10"/>
        <rFont val="WenQuanYi Zen Hei"/>
        <family val="2"/>
      </rPr>
      <t xml:space="preserve">免田事件</t>
    </r>
    <r>
      <rPr>
        <sz val="10"/>
        <rFont val="Arial"/>
        <family val="0"/>
        <charset val="1"/>
      </rPr>
      <t xml:space="preserve">)</t>
    </r>
  </si>
  <si>
    <t xml:space="preserve">INV-057</t>
  </si>
  <si>
    <t xml:space="preserve">Taniguchi Shigeyoshi</t>
  </si>
  <si>
    <t xml:space="preserve">谷口繁義</t>
  </si>
  <si>
    <t xml:space="preserve">Kagawa</t>
  </si>
  <si>
    <r>
      <rPr>
        <sz val="10"/>
        <rFont val="Arial"/>
        <family val="0"/>
        <charset val="1"/>
      </rPr>
      <t xml:space="preserve">Saitagawa case (</t>
    </r>
    <r>
      <rPr>
        <sz val="10"/>
        <rFont val="WenQuanYi Zen Hei"/>
        <family val="2"/>
      </rPr>
      <t xml:space="preserve">財田川事件</t>
    </r>
    <r>
      <rPr>
        <sz val="10"/>
        <rFont val="Arial"/>
        <family val="0"/>
        <charset val="1"/>
      </rPr>
      <t xml:space="preserve">)</t>
    </r>
  </si>
  <si>
    <t xml:space="preserve">INV-058</t>
  </si>
  <si>
    <t xml:space="preserve">Saitō Yukio</t>
  </si>
  <si>
    <t xml:space="preserve">斎藤幸夫</t>
  </si>
  <si>
    <t xml:space="preserve">Miyagi</t>
  </si>
  <si>
    <t xml:space="preserve">Robbery-murder, arson</t>
  </si>
  <si>
    <r>
      <rPr>
        <sz val="10"/>
        <rFont val="Arial"/>
        <family val="0"/>
        <charset val="1"/>
      </rPr>
      <t xml:space="preserve">Matsuyama case (</t>
    </r>
    <r>
      <rPr>
        <sz val="10"/>
        <rFont val="WenQuanYi Zen Hei"/>
        <family val="2"/>
      </rPr>
      <t xml:space="preserve">松山事件</t>
    </r>
    <r>
      <rPr>
        <sz val="10"/>
        <rFont val="Arial"/>
        <family val="0"/>
        <charset val="1"/>
      </rPr>
      <t xml:space="preserve">)</t>
    </r>
  </si>
  <si>
    <t xml:space="preserve">INV-059</t>
  </si>
  <si>
    <t xml:space="preserve">Akahori Masao</t>
  </si>
  <si>
    <t xml:space="preserve">赤堀政夫</t>
  </si>
  <si>
    <t xml:space="preserve">Kidnapping, rape and murder</t>
  </si>
  <si>
    <r>
      <rPr>
        <sz val="10"/>
        <rFont val="Arial"/>
        <family val="0"/>
        <charset val="1"/>
      </rPr>
      <t xml:space="preserve">Shimada case (</t>
    </r>
    <r>
      <rPr>
        <sz val="10"/>
        <rFont val="WenQuanYi Zen Hei"/>
        <family val="2"/>
      </rPr>
      <t xml:space="preserve">島田事件</t>
    </r>
    <r>
      <rPr>
        <sz val="10"/>
        <rFont val="Arial"/>
        <family val="0"/>
        <charset val="1"/>
      </rPr>
      <t xml:space="preserve">)</t>
    </r>
  </si>
  <si>
    <t xml:space="preserve">INV-060</t>
  </si>
  <si>
    <t xml:space="preserve">Sakurai Shōji and Sugiyama Takao</t>
  </si>
  <si>
    <t xml:space="preserve">桜井昌司、杉山卓男</t>
  </si>
  <si>
    <t xml:space="preserve">Ibaraki</t>
  </si>
  <si>
    <t xml:space="preserve">IPJ / JFBA; media</t>
  </si>
  <si>
    <r>
      <rPr>
        <sz val="10"/>
        <rFont val="Arial"/>
        <family val="0"/>
        <charset val="1"/>
      </rPr>
      <t xml:space="preserve">Fukawa case (</t>
    </r>
    <r>
      <rPr>
        <sz val="10"/>
        <rFont val="WenQuanYi Zen Hei"/>
        <family val="2"/>
      </rPr>
      <t xml:space="preserve">布川事件</t>
    </r>
    <r>
      <rPr>
        <sz val="10"/>
        <rFont val="Arial"/>
        <family val="0"/>
        <charset val="1"/>
      </rPr>
      <t xml:space="preserve">)</t>
    </r>
  </si>
  <si>
    <t xml:space="preserve">INV-061</t>
  </si>
  <si>
    <t xml:space="preserve">Govinda Prasad Mainali</t>
  </si>
  <si>
    <t xml:space="preserve">Tokyo</t>
  </si>
  <si>
    <t xml:space="preserve">Retrial acquittal; DNA</t>
  </si>
  <si>
    <r>
      <rPr>
        <sz val="10"/>
        <rFont val="Arial"/>
        <family val="0"/>
        <charset val="1"/>
      </rPr>
      <t xml:space="preserve">Tokyo Electric employee murder case (</t>
    </r>
    <r>
      <rPr>
        <sz val="10"/>
        <rFont val="WenQuanYi Zen Hei"/>
        <family val="2"/>
      </rPr>
      <t xml:space="preserve">東電</t>
    </r>
    <r>
      <rPr>
        <sz val="10"/>
        <rFont val="Arial"/>
        <family val="0"/>
        <charset val="1"/>
      </rPr>
      <t xml:space="preserve">OL</t>
    </r>
    <r>
      <rPr>
        <sz val="10"/>
        <rFont val="WenQuanYi Zen Hei"/>
        <family val="2"/>
      </rPr>
      <t xml:space="preserve">殺人事件</t>
    </r>
    <r>
      <rPr>
        <sz val="10"/>
        <rFont val="Arial"/>
        <family val="0"/>
        <charset val="1"/>
      </rPr>
      <t xml:space="preserve">)</t>
    </r>
  </si>
  <si>
    <t xml:space="preserve">INV-062</t>
  </si>
  <si>
    <t xml:space="preserve">Aoki Keiko and Boku Tatsuo</t>
  </si>
  <si>
    <t xml:space="preserve">青木惠子、朴龍晧</t>
  </si>
  <si>
    <t xml:space="preserve">Osaka</t>
  </si>
  <si>
    <t xml:space="preserve">Arson and murder</t>
  </si>
  <si>
    <r>
      <rPr>
        <sz val="10"/>
        <rFont val="Arial"/>
        <family val="0"/>
        <charset val="1"/>
      </rPr>
      <t xml:space="preserve">Higashisumiyoshi case (</t>
    </r>
    <r>
      <rPr>
        <sz val="10"/>
        <rFont val="WenQuanYi Zen Hei"/>
        <family val="2"/>
      </rPr>
      <t xml:space="preserve">東住吉事件</t>
    </r>
    <r>
      <rPr>
        <sz val="10"/>
        <rFont val="Arial"/>
        <family val="0"/>
        <charset val="1"/>
      </rPr>
      <t xml:space="preserve">)</t>
    </r>
  </si>
  <si>
    <t xml:space="preserve">INV-063</t>
  </si>
  <si>
    <t xml:space="preserve">Nishiyama Mika</t>
  </si>
  <si>
    <t xml:space="preserve">西山美香</t>
  </si>
  <si>
    <t xml:space="preserve">Shiga</t>
  </si>
  <si>
    <r>
      <rPr>
        <sz val="10"/>
        <rFont val="Arial"/>
        <family val="0"/>
        <charset val="1"/>
      </rPr>
      <t xml:space="preserve">Koto Memorial Hospital case (</t>
    </r>
    <r>
      <rPr>
        <sz val="10"/>
        <rFont val="WenQuanYi Zen Hei"/>
        <family val="2"/>
      </rPr>
      <t xml:space="preserve">湖東記念病院事件</t>
    </r>
    <r>
      <rPr>
        <sz val="10"/>
        <rFont val="Arial"/>
        <family val="0"/>
        <charset val="1"/>
      </rPr>
      <t xml:space="preserve">)</t>
    </r>
  </si>
  <si>
    <t xml:space="preserve">INV-064</t>
  </si>
  <si>
    <t xml:space="preserve">Miyata Kōshi</t>
  </si>
  <si>
    <t xml:space="preserve">宮田浩喜</t>
  </si>
  <si>
    <r>
      <rPr>
        <sz val="10"/>
        <rFont val="Arial"/>
        <family val="0"/>
        <charset val="1"/>
      </rPr>
      <t xml:space="preserve">Matsubase case (</t>
    </r>
    <r>
      <rPr>
        <sz val="10"/>
        <rFont val="WenQuanYi Zen Hei"/>
        <family val="2"/>
      </rPr>
      <t xml:space="preserve">松橋事件</t>
    </r>
    <r>
      <rPr>
        <sz val="10"/>
        <rFont val="Arial"/>
        <family val="0"/>
        <charset val="1"/>
      </rPr>
      <t xml:space="preserve">)</t>
    </r>
  </si>
  <si>
    <t xml:space="preserve">INV-065</t>
  </si>
  <si>
    <t xml:space="preserve">Yanagihara Hiroshi</t>
  </si>
  <si>
    <t xml:space="preserve">柳原浩</t>
  </si>
  <si>
    <t xml:space="preserve">Toyama</t>
  </si>
  <si>
    <t xml:space="preserve">Rape, attempted rape</t>
  </si>
  <si>
    <t xml:space="preserve">Retrial acquittal after real perpetrator found</t>
  </si>
  <si>
    <r>
      <rPr>
        <sz val="10"/>
        <rFont val="Arial"/>
        <family val="0"/>
        <charset val="1"/>
      </rPr>
      <t xml:space="preserve">Himi case (</t>
    </r>
    <r>
      <rPr>
        <sz val="10"/>
        <rFont val="WenQuanYi Zen Hei"/>
        <family val="2"/>
      </rPr>
      <t xml:space="preserve">氷見事件</t>
    </r>
    <r>
      <rPr>
        <sz val="10"/>
        <rFont val="Arial"/>
        <family val="0"/>
        <charset val="1"/>
      </rPr>
      <t xml:space="preserve">)</t>
    </r>
  </si>
  <si>
    <t xml:space="preserve">INV-066</t>
  </si>
  <si>
    <t xml:space="preserve">Maekawa Shōji</t>
  </si>
  <si>
    <t xml:space="preserve">前川彰司</t>
  </si>
  <si>
    <t xml:space="preserve">Fukui</t>
  </si>
  <si>
    <t xml:space="preserve">Retrial acquittal (July or August 2025; sources differ)</t>
  </si>
  <si>
    <t xml:space="preserve">Media</t>
  </si>
  <si>
    <t xml:space="preserve">https://english.adnkronos.com/2026/04/28/man-acquitted-over-1986-murder-seeks-state-compensation/</t>
  </si>
  <si>
    <r>
      <rPr>
        <sz val="10"/>
        <rFont val="Arial"/>
        <family val="0"/>
        <charset val="1"/>
      </rPr>
      <t xml:space="preserve">Fukui schoolgirl murder (</t>
    </r>
    <r>
      <rPr>
        <sz val="10"/>
        <rFont val="WenQuanYi Zen Hei"/>
        <family val="2"/>
      </rPr>
      <t xml:space="preserve">福井女子中学生殺人事件</t>
    </r>
    <r>
      <rPr>
        <sz val="10"/>
        <rFont val="Arial"/>
        <family val="0"/>
        <charset val="1"/>
      </rPr>
      <t xml:space="preserve">)</t>
    </r>
  </si>
  <si>
    <t xml:space="preserve">INV-067</t>
  </si>
  <si>
    <t xml:space="preserve">Fuji Shigeko</t>
  </si>
  <si>
    <t xml:space="preserve">冨士茂子</t>
  </si>
  <si>
    <t xml:space="preserve">Tokushima</t>
  </si>
  <si>
    <t xml:space="preserve">Posthumous retrial acquittal</t>
  </si>
  <si>
    <r>
      <rPr>
        <sz val="10"/>
        <rFont val="Arial"/>
        <family val="0"/>
        <charset val="1"/>
      </rPr>
      <t xml:space="preserve">Tokushima radio shop case (</t>
    </r>
    <r>
      <rPr>
        <sz val="10"/>
        <rFont val="WenQuanYi Zen Hei"/>
        <family val="2"/>
      </rPr>
      <t xml:space="preserve">徳島ラジオ商殺し事件</t>
    </r>
    <r>
      <rPr>
        <sz val="10"/>
        <rFont val="Arial"/>
        <family val="0"/>
        <charset val="1"/>
      </rPr>
      <t xml:space="preserve">)</t>
    </r>
  </si>
  <si>
    <t xml:space="preserve">INV-068</t>
  </si>
  <si>
    <t xml:space="preserve">Umeda Yoshimi</t>
  </si>
  <si>
    <t xml:space="preserve">梅田義光</t>
  </si>
  <si>
    <t xml:space="preserve">Hokkaido</t>
  </si>
  <si>
    <r>
      <rPr>
        <sz val="10"/>
        <rFont val="Arial"/>
        <family val="0"/>
        <charset val="1"/>
      </rPr>
      <t xml:space="preserve">Umeda case (</t>
    </r>
    <r>
      <rPr>
        <sz val="10"/>
        <rFont val="WenQuanYi Zen Hei"/>
        <family val="2"/>
      </rPr>
      <t xml:space="preserve">梅田事件</t>
    </r>
    <r>
      <rPr>
        <sz val="10"/>
        <rFont val="Arial"/>
        <family val="0"/>
        <charset val="1"/>
      </rPr>
      <t xml:space="preserve">)</t>
    </r>
  </si>
  <si>
    <t xml:space="preserve">INV-069</t>
  </si>
  <si>
    <t xml:space="preserve">Su Chien-ho, Liu Bin-lang and Chuang Lin-hsun</t>
  </si>
  <si>
    <t xml:space="preserve">蘇建和、劉秉郎、莊林勳</t>
  </si>
  <si>
    <t xml:space="preserve">New Taipei (Xizhi)</t>
  </si>
  <si>
    <t xml:space="preserve">Robbery, rape and murder</t>
  </si>
  <si>
    <t xml:space="preserve">Retrial acquittal, final 31 August 2012</t>
  </si>
  <si>
    <t xml:space="preserve">TIP database; Taipei Times</t>
  </si>
  <si>
    <t xml:space="preserve">https://www.taipeitimes.com/News/front/archives/2012/09/01/2003541675</t>
  </si>
  <si>
    <t xml:space="preserve">Hsichih Trio; repeated retrials</t>
  </si>
  <si>
    <t xml:space="preserve">INV-070</t>
  </si>
  <si>
    <t xml:space="preserve">Hsu Tzu-chiang</t>
  </si>
  <si>
    <t xml:space="preserve">徐自強</t>
  </si>
  <si>
    <t xml:space="preserve">Kidnapping and murder</t>
  </si>
  <si>
    <t xml:space="preserve">Retrial acquittal (as listed)</t>
  </si>
  <si>
    <t xml:space="preserve">TIP database; Talking Taiwan list</t>
  </si>
  <si>
    <t xml:space="preserve">https://talkingtaiwan.com/?p=6809</t>
  </si>
  <si>
    <t xml:space="preserve">INV-071</t>
  </si>
  <si>
    <t xml:space="preserve">Cheng Hsing-tse</t>
  </si>
  <si>
    <t xml:space="preserve">鄭性澤</t>
  </si>
  <si>
    <t xml:space="preserve">Taichung</t>
  </si>
  <si>
    <t xml:space="preserve">Murder of a police officer</t>
  </si>
  <si>
    <t xml:space="preserve">Death row</t>
  </si>
  <si>
    <t xml:space="preserve">INV-072</t>
  </si>
  <si>
    <t xml:space="preserve">Hsieh Chih-hung</t>
  </si>
  <si>
    <t xml:space="preserve">謝志宏</t>
  </si>
  <si>
    <t xml:space="preserve">Tainan</t>
  </si>
  <si>
    <t xml:space="preserve">Listed as exonerated 2020 in one source; another reports retrial pending</t>
  </si>
  <si>
    <t xml:space="preserve">Sources conflict</t>
  </si>
  <si>
    <t xml:space="preserve">INV-073</t>
  </si>
  <si>
    <t xml:space="preserve">Wang Chi-cheng and Hung Shih-wei</t>
  </si>
  <si>
    <t xml:space="preserve">王淇政、洪世緯</t>
  </si>
  <si>
    <t xml:space="preserve">Retrial acquittal, 30 December 2021</t>
  </si>
  <si>
    <t xml:space="preserve">TIP database; media</t>
  </si>
  <si>
    <r>
      <rPr>
        <sz val="10"/>
        <rFont val="Arial"/>
        <family val="0"/>
        <charset val="1"/>
      </rPr>
      <t xml:space="preserve">Houfeng Bridge case (</t>
    </r>
    <r>
      <rPr>
        <sz val="10"/>
        <rFont val="WenQuanYi Zen Hei"/>
        <family val="2"/>
      </rPr>
      <t xml:space="preserve">后豐大橋案</t>
    </r>
    <r>
      <rPr>
        <sz val="10"/>
        <rFont val="Arial"/>
        <family val="0"/>
        <charset val="1"/>
      </rPr>
      <t xml:space="preserve">)</t>
    </r>
  </si>
  <si>
    <t xml:space="preserve">INV-074</t>
  </si>
  <si>
    <t xml:space="preserve">Wu Ming-feng</t>
  </si>
  <si>
    <t xml:space="preserve">吳明峰</t>
  </si>
  <si>
    <t xml:space="preserve">Retrial acquittal, High Court, November 2021</t>
  </si>
  <si>
    <t xml:space="preserve">https://www.mirrormedia.mg/story/20211118web003</t>
  </si>
  <si>
    <t xml:space="preserve">INV-075</t>
  </si>
  <si>
    <t xml:space="preserve">Su Yao-hui</t>
  </si>
  <si>
    <t xml:space="preserve">蘇耀輝</t>
  </si>
  <si>
    <r>
      <rPr>
        <sz val="10"/>
        <rFont val="Arial"/>
        <family val="0"/>
        <charset val="1"/>
      </rPr>
      <t xml:space="preserve">Retrial acquittal, 115</t>
    </r>
    <r>
      <rPr>
        <sz val="10"/>
        <rFont val="WenQuanYi Zen Hei"/>
        <family val="2"/>
      </rPr>
      <t xml:space="preserve">年度再字第</t>
    </r>
    <r>
      <rPr>
        <sz val="10"/>
        <rFont val="Arial"/>
        <family val="0"/>
        <charset val="1"/>
      </rPr>
      <t xml:space="preserve">1</t>
    </r>
    <r>
      <rPr>
        <sz val="10"/>
        <rFont val="WenQuanYi Zen Hei"/>
        <family val="2"/>
      </rPr>
      <t xml:space="preserve">號</t>
    </r>
  </si>
  <si>
    <t xml:space="preserve">TIP; media</t>
  </si>
  <si>
    <t xml:space="preserve">Retrial opened January 2026</t>
  </si>
  <si>
    <t xml:space="preserve">INV-076</t>
  </si>
  <si>
    <t xml:space="preserve">Lin Chin-kuei</t>
  </si>
  <si>
    <t xml:space="preserve">林金貴</t>
  </si>
  <si>
    <t xml:space="preserve">Kaohsiung</t>
  </si>
  <si>
    <t xml:space="preserve">Retrial acquittal 2018, reversed 2020, acquitted again on second remand</t>
  </si>
  <si>
    <t xml:space="preserve">TIP; PTS</t>
  </si>
  <si>
    <t xml:space="preserve">https://news.pts.org.tw/article/597576</t>
  </si>
  <si>
    <t xml:space="preserve">Check whether latest acquittal is final</t>
  </si>
  <si>
    <t xml:space="preserve">INV-077</t>
  </si>
  <si>
    <t xml:space="preserve">Chen Lung-chi</t>
  </si>
  <si>
    <t xml:space="preserve">陳龍綺</t>
  </si>
  <si>
    <t xml:space="preserve">Retrial acquittal; Y-STR DNA re-evaluated (Hampikian et al., 2017)</t>
  </si>
  <si>
    <t xml:space="preserve">Academic (Hampikian et al., 2017)</t>
  </si>
  <si>
    <t xml:space="preserve">https://doi.org/10.1016/j.fsigen.2017.08.004</t>
  </si>
  <si>
    <t xml:space="preserve">INV-078</t>
  </si>
  <si>
    <t xml:space="preserve">Kim Shin-hye</t>
  </si>
  <si>
    <t xml:space="preserve">김신혜</t>
  </si>
  <si>
    <t xml:space="preserve">Wando, South Jeolla</t>
  </si>
  <si>
    <t xml:space="preserve">Patricide</t>
  </si>
  <si>
    <t xml:space="preserve">Retrial acquittal, 6 January 2025</t>
  </si>
  <si>
    <t xml:space="preserve">https://www.koreajoongangdaily.com/korea/daughter-serving-life-sentence-for-fathers-murder-acquitted-after-24-years/12127561</t>
  </si>
  <si>
    <t xml:space="preserve">Retrial opened 2015</t>
  </si>
  <si>
    <t xml:space="preserve">INV-079</t>
  </si>
  <si>
    <t xml:space="preserve">Choi In-cheol and Jang Dong-ik</t>
  </si>
  <si>
    <r>
      <rPr>
        <sz val="10"/>
        <rFont val="WenQuanYi Zen Hei"/>
        <family val="2"/>
      </rPr>
      <t xml:space="preserve">최인철</t>
    </r>
    <r>
      <rPr>
        <sz val="10"/>
        <rFont val="Arial"/>
        <family val="0"/>
        <charset val="1"/>
      </rPr>
      <t xml:space="preserve">, </t>
    </r>
    <r>
      <rPr>
        <sz val="10"/>
        <rFont val="WenQuanYi Zen Hei"/>
        <family val="2"/>
      </rPr>
      <t xml:space="preserve">장동익</t>
    </r>
  </si>
  <si>
    <t xml:space="preserve">Busan</t>
  </si>
  <si>
    <t xml:space="preserve">Retrial acquittal, Busan High Court; torture found</t>
  </si>
  <si>
    <t xml:space="preserve">https://www.koreajoongangdaily.com/korea/busan-court-exonerates-men-imprisoned-21-years-for-murder/10944681</t>
  </si>
  <si>
    <r>
      <rPr>
        <sz val="10"/>
        <rFont val="Arial"/>
        <family val="0"/>
        <charset val="1"/>
      </rPr>
      <t xml:space="preserve">Nakdong River case (</t>
    </r>
    <r>
      <rPr>
        <sz val="10"/>
        <rFont val="WenQuanYi Zen Hei"/>
        <family val="2"/>
      </rPr>
      <t xml:space="preserve">낙동강변 살인사건</t>
    </r>
    <r>
      <rPr>
        <sz val="10"/>
        <rFont val="Arial"/>
        <family val="0"/>
        <charset val="1"/>
      </rPr>
      <t xml:space="preserve">)</t>
    </r>
  </si>
  <si>
    <t xml:space="preserve">INV-080</t>
  </si>
  <si>
    <t xml:space="preserve">Mr Choi (anonymized in reports)</t>
  </si>
  <si>
    <t xml:space="preserve">Iksan, North Jeolla</t>
  </si>
  <si>
    <t xml:space="preserve">Murder of a taxi driver</t>
  </si>
  <si>
    <t xml:space="preserve">https://mobile.newsis.com/view/NISX20191011_0000796489</t>
  </si>
  <si>
    <r>
      <rPr>
        <sz val="10"/>
        <rFont val="Arial"/>
        <family val="0"/>
        <charset val="1"/>
      </rPr>
      <t xml:space="preserve">Yakchon intersection case (</t>
    </r>
    <r>
      <rPr>
        <sz val="10"/>
        <rFont val="WenQuanYi Zen Hei"/>
        <family val="2"/>
      </rPr>
      <t xml:space="preserve">약촌오거리 사건</t>
    </r>
    <r>
      <rPr>
        <sz val="10"/>
        <rFont val="Arial"/>
        <family val="0"/>
        <charset val="1"/>
      </rPr>
      <t xml:space="preserve">)</t>
    </r>
  </si>
  <si>
    <t xml:space="preserve">INV-081</t>
  </si>
  <si>
    <t xml:space="preserve">Three men (names to confirm)</t>
  </si>
  <si>
    <t xml:space="preserve">Wanju, North Jeolla</t>
  </si>
  <si>
    <r>
      <rPr>
        <sz val="10"/>
        <rFont val="Arial"/>
        <family val="0"/>
        <charset val="1"/>
      </rPr>
      <t xml:space="preserve">Samnye Nara Supermarket case (</t>
    </r>
    <r>
      <rPr>
        <sz val="10"/>
        <rFont val="WenQuanYi Zen Hei"/>
        <family val="2"/>
      </rPr>
      <t xml:space="preserve">삼례 나라슈퍼 사건</t>
    </r>
    <r>
      <rPr>
        <sz val="10"/>
        <rFont val="Arial"/>
        <family val="0"/>
        <charset val="1"/>
      </rPr>
      <t xml:space="preserve">)</t>
    </r>
  </si>
  <si>
    <t xml:space="preserve">INV-082</t>
  </si>
  <si>
    <t xml:space="preserve">Jeong Won-seop</t>
  </si>
  <si>
    <t xml:space="preserve">정원섭</t>
  </si>
  <si>
    <t xml:space="preserve">Chuncheon</t>
  </si>
  <si>
    <t xml:space="preserve">INV-083</t>
  </si>
  <si>
    <t xml:space="preserve">Cho Bong-am</t>
  </si>
  <si>
    <t xml:space="preserve">조봉암</t>
  </si>
  <si>
    <t xml:space="preserve">Espionage</t>
  </si>
  <si>
    <t xml:space="preserve">Posthumous retrial acquittal (as recalled; to confirm)</t>
  </si>
  <si>
    <t xml:space="preserve">Media; Truth and Reconciliation Commission</t>
  </si>
  <si>
    <t xml:space="preserve">Political case; executed 1959</t>
  </si>
  <si>
    <t xml:space="preserve">INV-084</t>
  </si>
  <si>
    <t xml:space="preserve">People's Revolutionary Party defendants (eight executed)</t>
  </si>
  <si>
    <t xml:space="preserve">인혁당 재건위</t>
  </si>
  <si>
    <t xml:space="preserve">National security offenses</t>
  </si>
  <si>
    <t xml:space="preserve">Political case; many similar commission-led retrials exist</t>
  </si>
  <si>
    <t xml:space="preserve">INV-085</t>
  </si>
  <si>
    <t xml:space="preserve">Huynh Van Nen</t>
  </si>
  <si>
    <t xml:space="preserve">Huỳnh Văn Nén</t>
  </si>
  <si>
    <t xml:space="preserve">Bình Thuận</t>
  </si>
  <si>
    <t xml:space="preserve">Released 2014; public apology 2015; compensation VND 10 billion 2017</t>
  </si>
  <si>
    <t xml:space="preserve">A?, B</t>
  </si>
  <si>
    <t xml:space="preserve">https://dtinews.dantri.com.vn/vietnam-today/innocent-man-gets-vnd10bn-compensation-payout-20170425110718760.htm</t>
  </si>
  <si>
    <t xml:space="preserve">Check the 2014-15 reopening decision</t>
  </si>
  <si>
    <t xml:space="preserve">INV-086</t>
  </si>
  <si>
    <t xml:space="preserve">Han Duc Long</t>
  </si>
  <si>
    <t xml:space="preserve">Hàn Đức Long</t>
  </si>
  <si>
    <t xml:space="preserve">Proceedings ended after repeated annulments (as recalled; to confirm)</t>
  </si>
  <si>
    <t xml:space="preserve">Check whether any conviction was final</t>
  </si>
  <si>
    <t xml:space="preserve">INV-087</t>
  </si>
  <si>
    <t xml:space="preserve">Amos Baranes</t>
  </si>
  <si>
    <t xml:space="preserve">עמוס ברנס</t>
  </si>
  <si>
    <t xml:space="preserve">Pardon c. 1985; retrial acquittal 2002; compensation 2010</t>
  </si>
  <si>
    <t xml:space="preserve">https://www.jpost.com/israel/state-compensates-convicted-killer/article-183757</t>
  </si>
  <si>
    <t xml:space="preserve">INV-088</t>
  </si>
  <si>
    <t xml:space="preserve">Gobi a/l Avedian</t>
  </si>
  <si>
    <t xml:space="preserve">Drug importation (capital)</t>
  </si>
  <si>
    <t xml:space="preserve">Court of Appeal reopened and substituted a lesser conviction (as recalled; to confirm)</t>
  </si>
  <si>
    <t xml:space="preserve">A (in part)?</t>
  </si>
  <si>
    <t xml:space="preserve">Media; eLitigation</t>
  </si>
  <si>
    <t xml:space="preserve">Partial correction: check whether in scope</t>
  </si>
  <si>
    <t xml:space="preserve">Total</t>
  </si>
  <si>
    <t xml:space="preserve">Candidates by finality check</t>
  </si>
  <si>
    <t xml:space="preserve">Source</t>
  </si>
  <si>
    <t xml:space="preserve">What it holds</t>
  </si>
  <si>
    <t xml:space="preserve">URL</t>
  </si>
  <si>
    <t xml:space="preserve">Status in this inventory</t>
  </si>
  <si>
    <t xml:space="preserve">China Wrongful Convictions Case Archive (USALI, NYU)</t>
  </si>
  <si>
    <t xml:space="preserve">English-language case pages; more than 170 overturned convictions since 1979, on appeal or retrial</t>
  </si>
  <si>
    <t xml:space="preserve">https://usali.org/china-wrongful-convictions-case-archive</t>
  </si>
  <si>
    <t xml:space="preserve">About 30 case pages found by search; full index not reachable from the build environment. Archive also includes cases corrected on ordinary appeal, which ARWC excludes</t>
  </si>
  <si>
    <t xml:space="preserve">Taiwan Innocence Project: Database of Criminal Retrial-Acquittals, 1991-2026</t>
  </si>
  <si>
    <t xml:space="preserve">308 retrial-based acquittals since 1991 (framework paper)</t>
  </si>
  <si>
    <t xml:space="preserve">https://twinnocenceproject.org/database/</t>
  </si>
  <si>
    <t xml:space="preserve">Not reachable from the build environment; nine well-known cases listed from other sources. Ask TIP (Ko) for an export</t>
  </si>
  <si>
    <t xml:space="preserve">Innocence Project Japan</t>
  </si>
  <si>
    <t xml:space="preserve">Case work and commentary</t>
  </si>
  <si>
    <t xml:space="preserve">https://innocenceprojectjapan.org/en/home-2</t>
  </si>
  <si>
    <t xml:space="preserve">Not reachable from the build environment; cases listed from public reporting. Nishi's data cover retrial acquittals</t>
  </si>
  <si>
    <t xml:space="preserve">Japan Federation of Bar Associations (JFBA) retrial support cases</t>
  </si>
  <si>
    <t xml:space="preserve">Bar-supported retrial cases</t>
  </si>
  <si>
    <t xml:space="preserve">https://www.nichibenren.or.jp/</t>
  </si>
  <si>
    <t xml:space="preserve">Not yet mined</t>
  </si>
  <si>
    <t xml:space="preserve">Korea Truth and Reconciliation Commission; court retrial records</t>
  </si>
  <si>
    <t xml:space="preserve">Commission-recommended retrials, many political-era cases</t>
  </si>
  <si>
    <t xml:space="preserve">Only a few listed; likely dozens more</t>
  </si>
  <si>
    <t xml:space="preserve">Taiwan Alliance to End the Death Penalty / Talking Taiwan list</t>
  </si>
  <si>
    <t xml:space="preserve">Death-row exonerations</t>
  </si>
  <si>
    <t xml:space="preserve">Used for three cases</t>
  </si>
  <si>
    <t xml:space="preserve">Le et al. (2024) systematic review</t>
  </si>
  <si>
    <t xml:space="preserve">Asia</t>
  </si>
  <si>
    <t xml:space="preserve">Cases discussed in the literature across Asian countries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</si>
</sst>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1"/>
      <color rgb="FFFFFFFF"/>
      <name val="Arial"/>
      <family val="0"/>
      <charset val="1"/>
    </font>
    <font>
      <sz val="10"/>
      <name val="WenQuanYi Zen Hei"/>
      <family val="2"/>
    </font>
    <font>
      <u val="single"/>
      <sz val="10"/>
      <color rgb="FF2F4A8A"/>
      <name val="Arial"/>
      <family val="0"/>
      <charset val="1"/>
    </font>
    <font>
      <b val="true"/>
      <sz val="10"/>
      <color rgb="FFFFFFFF"/>
      <name val="Arial"/>
      <family val="0"/>
      <charset val="1"/>
    </font>
  </fonts>
  <fills count="7">
    <fill>
      <patternFill patternType="none"/>
    </fill>
    <fill>
      <patternFill patternType="gray125"/>
    </fill>
    <fill>
      <patternFill patternType="solid">
        <fgColor rgb="FF2F4A8A"/>
        <bgColor rgb="FF003366"/>
      </patternFill>
    </fill>
    <fill>
      <patternFill patternType="solid">
        <fgColor rgb="FFE4E9F4"/>
        <bgColor rgb="FFEEF1F8"/>
      </patternFill>
    </fill>
    <fill>
      <patternFill patternType="solid">
        <fgColor rgb="FFEEF1F8"/>
        <bgColor rgb="FFF2F2F2"/>
      </patternFill>
    </fill>
    <fill>
      <patternFill patternType="solid">
        <fgColor rgb="FFFFF4DC"/>
        <bgColor rgb="FFF2F2F2"/>
      </patternFill>
    </fill>
    <fill>
      <patternFill patternType="solid">
        <fgColor rgb="FFF2F2F2"/>
        <bgColor rgb="FFEEF1F8"/>
      </patternFill>
    </fill>
  </fills>
  <borders count="2">
    <border diagonalUp="false" diagonalDown="false">
      <left/>
      <right/>
      <top/>
      <bottom/>
      <diagonal/>
    </border>
    <border diagonalUp="false" diagonalDown="false">
      <left/>
      <right/>
      <top/>
      <bottom style="thin">
        <color rgb="FFD0D7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F4A8A"/>
          <bgColor rgb="FF000000"/>
        </patternFill>
      </fill>
    </dxf>
    <dxf>
      <fill>
        <patternFill patternType="solid">
          <fgColor rgb="FFE4E9F4"/>
          <bgColor rgb="FF000000"/>
        </patternFill>
      </fill>
    </dxf>
    <dxf>
      <fill>
        <patternFill patternType="solid">
          <fgColor rgb="FFEEF1F8"/>
          <bgColor rgb="FF000000"/>
        </patternFill>
      </fill>
    </dxf>
    <dxf>
      <fill>
        <patternFill patternType="solid">
          <fgColor rgb="FFF2F2F2"/>
          <bgColor rgb="FF000000"/>
        </patternFill>
      </fill>
    </dxf>
    <dxf>
      <fill>
        <patternFill patternType="solid">
          <fgColor rgb="FFFFF4D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DC"/>
      <rgbColor rgb="FFEEF1F8"/>
      <rgbColor rgb="FF660066"/>
      <rgbColor rgb="FFFF8080"/>
      <rgbColor rgb="FF0066CC"/>
      <rgbColor rgb="FFD0D7E4"/>
      <rgbColor rgb="FF000080"/>
      <rgbColor rgb="FFFF00FF"/>
      <rgbColor rgb="FFFFFF00"/>
      <rgbColor rgb="FF00FFFF"/>
      <rgbColor rgb="FF800080"/>
      <rgbColor rgb="FF800000"/>
      <rgbColor rgb="FF008080"/>
      <rgbColor rgb="FF0000FF"/>
      <rgbColor rgb="FF00CCFF"/>
      <rgbColor rgb="FFE4E9F4"/>
      <rgbColor rgb="FFF2F2F2"/>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4A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usali.org/wc-case-archive/nie-shubin-case" TargetMode="External"/><Relationship Id="rId2" Type="http://schemas.openxmlformats.org/officeDocument/2006/relationships/hyperlink" Target="https://www.courts.go.jp/hanrei/93622/detail4/index.html" TargetMode="External"/><Relationship Id="rId3" Type="http://schemas.openxmlformats.org/officeDocument/2006/relationships/hyperlink" Target="https://www.courts.go.jp/hanrei/80213/detail4/index.html" TargetMode="External"/><Relationship Id="rId4" Type="http://schemas.openxmlformats.org/officeDocument/2006/relationships/hyperlink" Target="https://cybsbox.cy.gov.tw/CYBSBoxSSL/edoc/download/50046" TargetMode="External"/><Relationship Id="rId5" Type="http://schemas.openxmlformats.org/officeDocument/2006/relationships/hyperlink" Target="https://usali.org/wc-case-archive/zhang-yuhuan-murder-case" TargetMode="External"/><Relationship Id="rId6" Type="http://schemas.openxmlformats.org/officeDocument/2006/relationships/hyperlink" Target="https://www.lawtimes.co.kr/news/articleView.html?idxno=166641" TargetMode="External"/><Relationship Id="rId7" Type="http://schemas.openxmlformats.org/officeDocument/2006/relationships/hyperlink" Target="https://indiankanoon.org/doc/54814974/" TargetMode="External"/><Relationship Id="rId8" Type="http://schemas.openxmlformats.org/officeDocument/2006/relationships/hyperlink" Target="https://www.gov.il/BlobFolder/dynamiccollectorresultitem/decision502-07/he/502-07.pdf" TargetMode="External"/><Relationship Id="rId9" Type="http://schemas.openxmlformats.org/officeDocument/2006/relationships/hyperlink" Target="https://www.dawn.com/news/1819573" TargetMode="External"/><Relationship Id="rId10" Type="http://schemas.openxmlformats.org/officeDocument/2006/relationships/hyperlink" Target="https://www.elitigation.sg/gd/s/2020_SGCA_90" TargetMode="External"/><Relationship Id="rId11" Type="http://schemas.openxmlformats.org/officeDocument/2006/relationships/hyperlink" Target="https://baochinhphu.vn/tam-dinh-chi-thi-hanh-an-tu-chung-than-1-pham-nhan-102152351.htm" TargetMode="External"/><Relationship Id="rId12" Type="http://schemas.openxmlformats.org/officeDocument/2006/relationships/hyperlink" Target="https://www.thejakartapost.com/news/2008/09/02/editorial-defending-wrong-judgment.html" TargetMode="External"/><Relationship Id="rId13" Type="http://schemas.openxmlformats.org/officeDocument/2006/relationships/hyperlink" Target="https://www.doj.gov.hk/en/notable_judgments/pdf/HCAL_176_2018e.pdf" TargetMode="External"/><Relationship Id="rId14" Type="http://schemas.openxmlformats.org/officeDocument/2006/relationships/hyperlink" Target="https://usali.org/wc-case-archive/she-xianglin-case" TargetMode="External"/><Relationship Id="rId15" Type="http://schemas.openxmlformats.org/officeDocument/2006/relationships/hyperlink" Target="https://usali.org/wc-case-archive/zhao-zuohai-case" TargetMode="External"/><Relationship Id="rId16" Type="http://schemas.openxmlformats.org/officeDocument/2006/relationships/hyperlink" Target="https://usali.org/wc-case-archive/huge-jiletu-case" TargetMode="External"/><Relationship Id="rId17" Type="http://schemas.openxmlformats.org/officeDocument/2006/relationships/hyperlink" Target="https://usali.org/wc-case-archive/zhang-hui-zhang-gaoping-case" TargetMode="External"/><Relationship Id="rId18" Type="http://schemas.openxmlformats.org/officeDocument/2006/relationships/hyperlink" Target="https://usali.org/wc-case-archive/tian-weidong-case" TargetMode="External"/><Relationship Id="rId19" Type="http://schemas.openxmlformats.org/officeDocument/2006/relationships/hyperlink" Target="https://usali.org/wc-case-archive/du-peiwu-case" TargetMode="External"/><Relationship Id="rId20" Type="http://schemas.openxmlformats.org/officeDocument/2006/relationships/hyperlink" Target="https://usali.org/wc-case-archive/bai-chun-rong-case" TargetMode="External"/><Relationship Id="rId21" Type="http://schemas.openxmlformats.org/officeDocument/2006/relationships/hyperlink" Target="https://usali.org/wc-case-archive/shen-liujin-murder-case" TargetMode="External"/><Relationship Id="rId22" Type="http://schemas.openxmlformats.org/officeDocument/2006/relationships/hyperlink" Target="https://usali.org/wc-case-archive/guo-li-racketeering-case" TargetMode="External"/><Relationship Id="rId23" Type="http://schemas.openxmlformats.org/officeDocument/2006/relationships/hyperlink" Target="https://usali.org/wc-case-archive/zeng-fannian-extortion-case" TargetMode="External"/><Relationship Id="rId24" Type="http://schemas.openxmlformats.org/officeDocument/2006/relationships/hyperlink" Target="https://usali.org/wc-case-archive/zeng-aiyun-murder-case" TargetMode="External"/><Relationship Id="rId25" Type="http://schemas.openxmlformats.org/officeDocument/2006/relationships/hyperlink" Target="https://usali.org/wc-case-archive/qian-renfeng-poison-case" TargetMode="External"/><Relationship Id="rId26" Type="http://schemas.openxmlformats.org/officeDocument/2006/relationships/hyperlink" Target="https://usali.org/wc-case-archive/fang-junjin-case" TargetMode="External"/><Relationship Id="rId27" Type="http://schemas.openxmlformats.org/officeDocument/2006/relationships/hyperlink" Target="https://usali.org/wc-case-archive/tan-xiuyi-rape-and-murder-case" TargetMode="External"/><Relationship Id="rId28" Type="http://schemas.openxmlformats.org/officeDocument/2006/relationships/hyperlink" Target="https://usali.org/wc-case-archive/lu-rongxin-rape-and-murder-case" TargetMode="External"/><Relationship Id="rId29" Type="http://schemas.openxmlformats.org/officeDocument/2006/relationships/hyperlink" Target="https://usali.org/wc-case-archive/wang-benyu-case" TargetMode="External"/><Relationship Id="rId30" Type="http://schemas.openxmlformats.org/officeDocument/2006/relationships/hyperlink" Target="https://usali.org/wc-case-archive/new-zhang-guangxiang-robbery-case-" TargetMode="External"/><Relationship Id="rId31" Type="http://schemas.openxmlformats.org/officeDocument/2006/relationships/hyperlink" Target="https://usali.org/wc-case-archive/yang-botao-case" TargetMode="External"/><Relationship Id="rId32" Type="http://schemas.openxmlformats.org/officeDocument/2006/relationships/hyperlink" Target="https://usali.org/wc-case-archive/wu-chunhong-murder-case" TargetMode="External"/><Relationship Id="rId33" Type="http://schemas.openxmlformats.org/officeDocument/2006/relationships/hyperlink" Target="https://usali.org/wc-case-archive/li-huailiang-case" TargetMode="External"/><Relationship Id="rId34" Type="http://schemas.openxmlformats.org/officeDocument/2006/relationships/hyperlink" Target="https://usali.org/wc-case-archive/sun-wangang-case" TargetMode="External"/><Relationship Id="rId35" Type="http://schemas.openxmlformats.org/officeDocument/2006/relationships/hyperlink" Target="https://usali.org/wc-case-archive/yang-dewu-murder-case" TargetMode="External"/><Relationship Id="rId36" Type="http://schemas.openxmlformats.org/officeDocument/2006/relationships/hyperlink" Target="https://usali.org/wc-case-archive/zheng-yonglin-case" TargetMode="External"/><Relationship Id="rId37" Type="http://schemas.openxmlformats.org/officeDocument/2006/relationships/hyperlink" Target="https://usali.org/wc-case-archive/yu-yingsheng-case" TargetMode="External"/><Relationship Id="rId38" Type="http://schemas.openxmlformats.org/officeDocument/2006/relationships/hyperlink" Target="https://usali.org/new-and-notable/new-additions-to-wrongful-convictions-case-archive" TargetMode="External"/><Relationship Id="rId39" Type="http://schemas.openxmlformats.org/officeDocument/2006/relationships/hyperlink" Target="https://usali.org/new-and-notable/new-additions-to-wrongful-convictions-case-archive" TargetMode="External"/><Relationship Id="rId40" Type="http://schemas.openxmlformats.org/officeDocument/2006/relationships/hyperlink" Target="https://usali.org/wc-case-archive" TargetMode="External"/><Relationship Id="rId41" Type="http://schemas.openxmlformats.org/officeDocument/2006/relationships/hyperlink" Target="https://usali.org/wc-case-archive" TargetMode="External"/><Relationship Id="rId42" Type="http://schemas.openxmlformats.org/officeDocument/2006/relationships/hyperlink" Target="https://usali.org/wc-case-archive" TargetMode="External"/><Relationship Id="rId43" Type="http://schemas.openxmlformats.org/officeDocument/2006/relationships/hyperlink" Target="https://usali.org/wc-case-archive" TargetMode="External"/><Relationship Id="rId44" Type="http://schemas.openxmlformats.org/officeDocument/2006/relationships/hyperlink" Target="https://english.adnkronos.com/2026/04/28/man-acquitted-over-1986-murder-seeks-state-compensation/" TargetMode="External"/><Relationship Id="rId45" Type="http://schemas.openxmlformats.org/officeDocument/2006/relationships/hyperlink" Target="https://www.taipeitimes.com/News/front/archives/2012/09/01/2003541675" TargetMode="External"/><Relationship Id="rId46" Type="http://schemas.openxmlformats.org/officeDocument/2006/relationships/hyperlink" Target="https://talkingtaiwan.com/?p=6809" TargetMode="External"/><Relationship Id="rId47" Type="http://schemas.openxmlformats.org/officeDocument/2006/relationships/hyperlink" Target="https://talkingtaiwan.com/?p=6809" TargetMode="External"/><Relationship Id="rId48" Type="http://schemas.openxmlformats.org/officeDocument/2006/relationships/hyperlink" Target="https://talkingtaiwan.com/?p=6809" TargetMode="External"/><Relationship Id="rId49" Type="http://schemas.openxmlformats.org/officeDocument/2006/relationships/hyperlink" Target="https://www.mirrormedia.mg/story/20211118web003" TargetMode="External"/><Relationship Id="rId50" Type="http://schemas.openxmlformats.org/officeDocument/2006/relationships/hyperlink" Target="https://news.pts.org.tw/article/597576" TargetMode="External"/><Relationship Id="rId51" Type="http://schemas.openxmlformats.org/officeDocument/2006/relationships/hyperlink" Target="https://doi.org/10.1016/j.fsigen.2017.08.004" TargetMode="External"/><Relationship Id="rId52" Type="http://schemas.openxmlformats.org/officeDocument/2006/relationships/hyperlink" Target="https://www.koreajoongangdaily.com/korea/daughter-serving-life-sentence-for-fathers-murder-acquitted-after-24-years/12127561" TargetMode="External"/><Relationship Id="rId53" Type="http://schemas.openxmlformats.org/officeDocument/2006/relationships/hyperlink" Target="https://www.koreajoongangdaily.com/korea/busan-court-exonerates-men-imprisoned-21-years-for-murder/10944681" TargetMode="External"/><Relationship Id="rId54" Type="http://schemas.openxmlformats.org/officeDocument/2006/relationships/hyperlink" Target="https://mobile.newsis.com/view/NISX20191011_0000796489" TargetMode="External"/><Relationship Id="rId55" Type="http://schemas.openxmlformats.org/officeDocument/2006/relationships/hyperlink" Target="https://mobile.newsis.com/view/NISX20191011_0000796489" TargetMode="External"/><Relationship Id="rId56" Type="http://schemas.openxmlformats.org/officeDocument/2006/relationships/hyperlink" Target="https://dtinews.dantri.com.vn/vietnam-today/innocent-man-gets-vnd10bn-compensation-payout-20170425110718760.htm" TargetMode="External"/><Relationship Id="rId57" Type="http://schemas.openxmlformats.org/officeDocument/2006/relationships/hyperlink" Target="https://www.jpost.com/israel/state-compensates-convicted-killer/article-183757" TargetMode="External"/><Relationship Id="rId58"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23.85" hidden="false" customHeight="false" outlineLevel="0" collapsed="false">
      <c r="A13" s="2" t="s">
        <v>10</v>
      </c>
    </row>
    <row r="14" customFormat="false" ht="23.85" hidden="false" customHeight="false" outlineLevel="0" collapsed="false">
      <c r="A14" s="2" t="s">
        <v>11</v>
      </c>
    </row>
    <row r="15" customFormat="false" ht="15" hidden="false" customHeight="false" outlineLevel="0" collapsed="false">
      <c r="A15" s="2" t="s">
        <v>12</v>
      </c>
    </row>
    <row r="16" customFormat="false" ht="23.8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3" t="s">
        <v>14</v>
      </c>
    </row>
    <row r="19" customFormat="false" ht="23.85" hidden="false" customHeight="false" outlineLevel="0" collapsed="false">
      <c r="A19" s="2" t="s">
        <v>15</v>
      </c>
    </row>
    <row r="20" customFormat="false" ht="15" hidden="false" customHeight="false" outlineLevel="0" collapsed="false">
      <c r="A20" s="2"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4"/>
    <col collapsed="false" customWidth="true" hidden="false" outlineLevel="0" max="3" min="3" style="0" width="22"/>
    <col collapsed="false" customWidth="true" hidden="false" outlineLevel="0" max="4" min="4" style="0" width="32"/>
    <col collapsed="false" customWidth="true" hidden="false" outlineLevel="0" max="5" min="5" style="0" width="18"/>
    <col collapsed="false" customWidth="true" hidden="false" outlineLevel="0" max="6" min="6" style="0" width="13"/>
    <col collapsed="false" customWidth="true" hidden="false" outlineLevel="0" max="7" min="7" style="0" width="18"/>
    <col collapsed="false" customWidth="true" hidden="false" outlineLevel="0" max="8" min="8" style="0" width="26"/>
    <col collapsed="false" customWidth="true" hidden="false" outlineLevel="0" max="10" min="9" style="0" width="12"/>
    <col collapsed="false" customWidth="true" hidden="false" outlineLevel="0" max="11" min="11" style="0" width="40"/>
    <col collapsed="false" customWidth="true" hidden="false" outlineLevel="0" max="12" min="12" style="0" width="12"/>
    <col collapsed="false" customWidth="true" hidden="false" outlineLevel="0" max="13" min="13" style="0" width="16"/>
    <col collapsed="false" customWidth="true" hidden="false" outlineLevel="0" max="14" min="14" style="0" width="26"/>
    <col collapsed="false" customWidth="true" hidden="false" outlineLevel="0" max="15" min="15" style="0" width="40"/>
    <col collapsed="false" customWidth="true" hidden="false" outlineLevel="0" max="16" min="16" style="0" width="44"/>
  </cols>
  <sheetData>
    <row r="1" customFormat="false" ht="52.2" hidden="false" customHeight="fals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row>
    <row r="2" customFormat="false" ht="23.85" hidden="false" customHeight="false" outlineLevel="0" collapsed="false">
      <c r="A2" s="5" t="s">
        <v>33</v>
      </c>
      <c r="B2" s="5" t="s">
        <v>34</v>
      </c>
      <c r="C2" s="5" t="s">
        <v>35</v>
      </c>
      <c r="D2" s="5" t="s">
        <v>36</v>
      </c>
      <c r="E2" s="6" t="s">
        <v>37</v>
      </c>
      <c r="F2" s="5" t="s">
        <v>38</v>
      </c>
      <c r="G2" s="5" t="s">
        <v>39</v>
      </c>
      <c r="H2" s="5" t="s">
        <v>40</v>
      </c>
      <c r="I2" s="5" t="n">
        <v>1995</v>
      </c>
      <c r="J2" s="5" t="n">
        <v>2016</v>
      </c>
      <c r="K2" s="5" t="s">
        <v>41</v>
      </c>
      <c r="L2" s="5" t="s">
        <v>42</v>
      </c>
      <c r="M2" s="5" t="s">
        <v>43</v>
      </c>
      <c r="N2" s="5" t="s">
        <v>44</v>
      </c>
      <c r="O2" s="7" t="s">
        <v>45</v>
      </c>
      <c r="P2" s="5"/>
    </row>
    <row r="3" customFormat="false" ht="15" hidden="false" customHeight="false" outlineLevel="0" collapsed="false">
      <c r="A3" s="8" t="s">
        <v>46</v>
      </c>
      <c r="B3" s="8" t="s">
        <v>47</v>
      </c>
      <c r="C3" s="8" t="s">
        <v>48</v>
      </c>
      <c r="D3" s="8" t="s">
        <v>49</v>
      </c>
      <c r="E3" s="9" t="s">
        <v>50</v>
      </c>
      <c r="F3" s="8" t="s">
        <v>51</v>
      </c>
      <c r="G3" s="8" t="s">
        <v>52</v>
      </c>
      <c r="H3" s="8" t="s">
        <v>53</v>
      </c>
      <c r="I3" s="8" t="n">
        <v>1980</v>
      </c>
      <c r="J3" s="8" t="n">
        <v>2024</v>
      </c>
      <c r="K3" s="8" t="s">
        <v>54</v>
      </c>
      <c r="L3" s="8" t="s">
        <v>55</v>
      </c>
      <c r="M3" s="8" t="s">
        <v>43</v>
      </c>
      <c r="N3" s="8" t="s">
        <v>56</v>
      </c>
      <c r="O3" s="10" t="s">
        <v>57</v>
      </c>
      <c r="P3" s="8" t="s">
        <v>58</v>
      </c>
    </row>
    <row r="4" customFormat="false" ht="15" hidden="false" customHeight="false" outlineLevel="0" collapsed="false">
      <c r="A4" s="8" t="s">
        <v>59</v>
      </c>
      <c r="B4" s="8" t="s">
        <v>60</v>
      </c>
      <c r="C4" s="8" t="s">
        <v>48</v>
      </c>
      <c r="D4" s="8" t="s">
        <v>61</v>
      </c>
      <c r="E4" s="9" t="s">
        <v>62</v>
      </c>
      <c r="F4" s="8" t="s">
        <v>51</v>
      </c>
      <c r="G4" s="8" t="s">
        <v>63</v>
      </c>
      <c r="H4" s="8" t="s">
        <v>64</v>
      </c>
      <c r="I4" s="8" t="n">
        <v>2000</v>
      </c>
      <c r="J4" s="8" t="n">
        <v>2010</v>
      </c>
      <c r="K4" s="8" t="s">
        <v>65</v>
      </c>
      <c r="L4" s="8" t="s">
        <v>42</v>
      </c>
      <c r="M4" s="8" t="s">
        <v>43</v>
      </c>
      <c r="N4" s="8" t="s">
        <v>56</v>
      </c>
      <c r="O4" s="10" t="s">
        <v>66</v>
      </c>
      <c r="P4" s="8" t="s">
        <v>67</v>
      </c>
    </row>
    <row r="5" customFormat="false" ht="23.85" hidden="false" customHeight="false" outlineLevel="0" collapsed="false">
      <c r="A5" s="8" t="s">
        <v>68</v>
      </c>
      <c r="B5" s="8" t="s">
        <v>69</v>
      </c>
      <c r="C5" s="8" t="s">
        <v>48</v>
      </c>
      <c r="D5" s="8" t="s">
        <v>70</v>
      </c>
      <c r="E5" s="9" t="s">
        <v>71</v>
      </c>
      <c r="F5" s="8" t="s">
        <v>72</v>
      </c>
      <c r="G5" s="8" t="s">
        <v>73</v>
      </c>
      <c r="H5" s="8" t="s">
        <v>74</v>
      </c>
      <c r="I5" s="8" t="n">
        <v>1997</v>
      </c>
      <c r="J5" s="8" t="n">
        <v>2010</v>
      </c>
      <c r="K5" s="8" t="s">
        <v>75</v>
      </c>
      <c r="L5" s="8" t="s">
        <v>42</v>
      </c>
      <c r="M5" s="8" t="s">
        <v>43</v>
      </c>
      <c r="N5" s="8" t="s">
        <v>56</v>
      </c>
      <c r="O5" s="10" t="s">
        <v>76</v>
      </c>
      <c r="P5" s="8" t="s">
        <v>77</v>
      </c>
    </row>
    <row r="6" customFormat="false" ht="23.85" hidden="false" customHeight="false" outlineLevel="0" collapsed="false">
      <c r="A6" s="8" t="s">
        <v>78</v>
      </c>
      <c r="B6" s="8" t="s">
        <v>79</v>
      </c>
      <c r="C6" s="8" t="s">
        <v>48</v>
      </c>
      <c r="D6" s="8" t="s">
        <v>80</v>
      </c>
      <c r="E6" s="9" t="s">
        <v>81</v>
      </c>
      <c r="F6" s="8" t="s">
        <v>38</v>
      </c>
      <c r="G6" s="8" t="s">
        <v>82</v>
      </c>
      <c r="H6" s="8" t="s">
        <v>83</v>
      </c>
      <c r="I6" s="8" t="n">
        <v>2001</v>
      </c>
      <c r="J6" s="8" t="n">
        <v>2020</v>
      </c>
      <c r="K6" s="8" t="s">
        <v>84</v>
      </c>
      <c r="L6" s="8" t="s">
        <v>42</v>
      </c>
      <c r="M6" s="8" t="s">
        <v>43</v>
      </c>
      <c r="N6" s="8" t="s">
        <v>85</v>
      </c>
      <c r="O6" s="10" t="s">
        <v>86</v>
      </c>
      <c r="P6" s="8"/>
    </row>
    <row r="7" customFormat="false" ht="23.85" hidden="false" customHeight="false" outlineLevel="0" collapsed="false">
      <c r="A7" s="8" t="s">
        <v>87</v>
      </c>
      <c r="B7" s="8" t="s">
        <v>88</v>
      </c>
      <c r="C7" s="8" t="s">
        <v>48</v>
      </c>
      <c r="D7" s="8" t="s">
        <v>89</v>
      </c>
      <c r="E7" s="9" t="s">
        <v>90</v>
      </c>
      <c r="F7" s="8" t="s">
        <v>91</v>
      </c>
      <c r="G7" s="8" t="s">
        <v>92</v>
      </c>
      <c r="H7" s="8" t="s">
        <v>93</v>
      </c>
      <c r="I7" s="8" t="n">
        <v>1989</v>
      </c>
      <c r="J7" s="8" t="n">
        <v>2020</v>
      </c>
      <c r="K7" s="8" t="s">
        <v>94</v>
      </c>
      <c r="L7" s="8" t="s">
        <v>42</v>
      </c>
      <c r="M7" s="8" t="s">
        <v>95</v>
      </c>
      <c r="N7" s="8" t="s">
        <v>56</v>
      </c>
      <c r="O7" s="10" t="s">
        <v>96</v>
      </c>
      <c r="P7" s="8" t="s">
        <v>97</v>
      </c>
    </row>
    <row r="8" customFormat="false" ht="15" hidden="false" customHeight="false" outlineLevel="0" collapsed="false">
      <c r="A8" s="8" t="s">
        <v>98</v>
      </c>
      <c r="B8" s="8" t="s">
        <v>99</v>
      </c>
      <c r="C8" s="8" t="s">
        <v>48</v>
      </c>
      <c r="D8" s="8" t="s">
        <v>100</v>
      </c>
      <c r="E8" s="8"/>
      <c r="F8" s="8" t="s">
        <v>101</v>
      </c>
      <c r="G8" s="8" t="s">
        <v>102</v>
      </c>
      <c r="H8" s="8" t="s">
        <v>103</v>
      </c>
      <c r="I8" s="8" t="n">
        <v>2009</v>
      </c>
      <c r="J8" s="8" t="n">
        <v>2019</v>
      </c>
      <c r="K8" s="8" t="s">
        <v>104</v>
      </c>
      <c r="L8" s="8" t="s">
        <v>55</v>
      </c>
      <c r="M8" s="8" t="s">
        <v>43</v>
      </c>
      <c r="N8" s="8" t="s">
        <v>105</v>
      </c>
      <c r="O8" s="10" t="s">
        <v>106</v>
      </c>
      <c r="P8" s="8"/>
    </row>
    <row r="9" customFormat="false" ht="15" hidden="false" customHeight="false" outlineLevel="0" collapsed="false">
      <c r="A9" s="8" t="s">
        <v>107</v>
      </c>
      <c r="B9" s="8" t="s">
        <v>108</v>
      </c>
      <c r="C9" s="8" t="s">
        <v>48</v>
      </c>
      <c r="D9" s="8" t="s">
        <v>109</v>
      </c>
      <c r="E9" s="8" t="s">
        <v>110</v>
      </c>
      <c r="F9" s="8" t="s">
        <v>111</v>
      </c>
      <c r="G9" s="8" t="s">
        <v>112</v>
      </c>
      <c r="H9" s="8" t="s">
        <v>113</v>
      </c>
      <c r="I9" s="8" t="n">
        <v>2015</v>
      </c>
      <c r="J9" s="8" t="n">
        <v>2023</v>
      </c>
      <c r="K9" s="8" t="s">
        <v>54</v>
      </c>
      <c r="L9" s="8" t="s">
        <v>55</v>
      </c>
      <c r="M9" s="8" t="s">
        <v>43</v>
      </c>
      <c r="N9" s="8" t="s">
        <v>105</v>
      </c>
      <c r="O9" s="10" t="s">
        <v>114</v>
      </c>
      <c r="P9" s="8"/>
    </row>
    <row r="10" customFormat="false" ht="23.85" hidden="false" customHeight="false" outlineLevel="0" collapsed="false">
      <c r="A10" s="8" t="s">
        <v>115</v>
      </c>
      <c r="B10" s="8" t="s">
        <v>116</v>
      </c>
      <c r="C10" s="8" t="s">
        <v>48</v>
      </c>
      <c r="D10" s="8" t="s">
        <v>117</v>
      </c>
      <c r="E10" s="8" t="s">
        <v>118</v>
      </c>
      <c r="F10" s="8" t="s">
        <v>119</v>
      </c>
      <c r="G10" s="8" t="s">
        <v>120</v>
      </c>
      <c r="H10" s="8" t="s">
        <v>121</v>
      </c>
      <c r="I10" s="8" t="n">
        <v>1979</v>
      </c>
      <c r="J10" s="8" t="n">
        <v>2024</v>
      </c>
      <c r="K10" s="8" t="s">
        <v>122</v>
      </c>
      <c r="L10" s="8" t="s">
        <v>123</v>
      </c>
      <c r="M10" s="8" t="s">
        <v>43</v>
      </c>
      <c r="N10" s="8" t="s">
        <v>105</v>
      </c>
      <c r="O10" s="10" t="s">
        <v>124</v>
      </c>
      <c r="P10" s="8" t="s">
        <v>125</v>
      </c>
    </row>
    <row r="11" customFormat="false" ht="23.85" hidden="false" customHeight="false" outlineLevel="0" collapsed="false">
      <c r="A11" s="8" t="s">
        <v>126</v>
      </c>
      <c r="B11" s="8" t="s">
        <v>127</v>
      </c>
      <c r="C11" s="8" t="s">
        <v>48</v>
      </c>
      <c r="D11" s="8" t="s">
        <v>128</v>
      </c>
      <c r="E11" s="8"/>
      <c r="F11" s="8" t="s">
        <v>129</v>
      </c>
      <c r="G11" s="8"/>
      <c r="H11" s="8" t="s">
        <v>130</v>
      </c>
      <c r="I11" s="8" t="n">
        <v>2015</v>
      </c>
      <c r="J11" s="8" t="n">
        <v>2020</v>
      </c>
      <c r="K11" s="8" t="s">
        <v>131</v>
      </c>
      <c r="L11" s="8" t="s">
        <v>55</v>
      </c>
      <c r="M11" s="8" t="s">
        <v>43</v>
      </c>
      <c r="N11" s="8" t="s">
        <v>105</v>
      </c>
      <c r="O11" s="10" t="s">
        <v>132</v>
      </c>
      <c r="P11" s="8"/>
    </row>
    <row r="12" customFormat="false" ht="23.85" hidden="false" customHeight="false" outlineLevel="0" collapsed="false">
      <c r="A12" s="8" t="s">
        <v>133</v>
      </c>
      <c r="B12" s="8" t="s">
        <v>134</v>
      </c>
      <c r="C12" s="8" t="s">
        <v>48</v>
      </c>
      <c r="D12" s="8" t="s">
        <v>135</v>
      </c>
      <c r="E12" s="8" t="s">
        <v>136</v>
      </c>
      <c r="F12" s="8" t="s">
        <v>137</v>
      </c>
      <c r="G12" s="8" t="s">
        <v>138</v>
      </c>
      <c r="H12" s="8" t="s">
        <v>113</v>
      </c>
      <c r="I12" s="8" t="n">
        <v>2004</v>
      </c>
      <c r="J12" s="8" t="n">
        <v>2013</v>
      </c>
      <c r="K12" s="8" t="s">
        <v>139</v>
      </c>
      <c r="L12" s="8" t="s">
        <v>42</v>
      </c>
      <c r="M12" s="8" t="s">
        <v>43</v>
      </c>
      <c r="N12" s="8" t="s">
        <v>105</v>
      </c>
      <c r="O12" s="10" t="s">
        <v>140</v>
      </c>
      <c r="P12" s="8"/>
    </row>
    <row r="13" customFormat="false" ht="23.85" hidden="false" customHeight="false" outlineLevel="0" collapsed="false">
      <c r="A13" s="11" t="s">
        <v>141</v>
      </c>
      <c r="B13" s="11" t="s">
        <v>142</v>
      </c>
      <c r="C13" s="11" t="s">
        <v>143</v>
      </c>
      <c r="D13" s="11" t="s">
        <v>144</v>
      </c>
      <c r="E13" s="11"/>
      <c r="F13" s="11" t="s">
        <v>145</v>
      </c>
      <c r="G13" s="11" t="s">
        <v>146</v>
      </c>
      <c r="H13" s="11" t="s">
        <v>147</v>
      </c>
      <c r="I13" s="11" t="n">
        <v>1978</v>
      </c>
      <c r="J13" s="11" t="n">
        <v>1981</v>
      </c>
      <c r="K13" s="11" t="s">
        <v>148</v>
      </c>
      <c r="L13" s="11" t="s">
        <v>55</v>
      </c>
      <c r="M13" s="11" t="s">
        <v>149</v>
      </c>
      <c r="N13" s="11" t="s">
        <v>56</v>
      </c>
      <c r="O13" s="12" t="s">
        <v>150</v>
      </c>
      <c r="P13" s="11" t="s">
        <v>151</v>
      </c>
    </row>
    <row r="14" customFormat="false" ht="23.85" hidden="false" customHeight="false" outlineLevel="0" collapsed="false">
      <c r="A14" s="13" t="s">
        <v>152</v>
      </c>
      <c r="B14" s="13" t="s">
        <v>153</v>
      </c>
      <c r="C14" s="13" t="s">
        <v>154</v>
      </c>
      <c r="D14" s="13" t="s">
        <v>155</v>
      </c>
      <c r="E14" s="13"/>
      <c r="F14" s="13" t="s">
        <v>156</v>
      </c>
      <c r="G14" s="13"/>
      <c r="H14" s="13" t="s">
        <v>157</v>
      </c>
      <c r="I14" s="13"/>
      <c r="J14" s="13" t="n">
        <v>2015</v>
      </c>
      <c r="K14" s="13" t="s">
        <v>158</v>
      </c>
      <c r="L14" s="13"/>
      <c r="M14" s="13" t="s">
        <v>159</v>
      </c>
      <c r="N14" s="13" t="s">
        <v>56</v>
      </c>
      <c r="O14" s="14" t="s">
        <v>160</v>
      </c>
      <c r="P14" s="13" t="s">
        <v>161</v>
      </c>
    </row>
    <row r="15" customFormat="false" ht="23.85" hidden="false" customHeight="false" outlineLevel="0" collapsed="false">
      <c r="A15" s="13" t="s">
        <v>162</v>
      </c>
      <c r="B15" s="13"/>
      <c r="C15" s="13" t="s">
        <v>163</v>
      </c>
      <c r="D15" s="13" t="s">
        <v>164</v>
      </c>
      <c r="E15" s="13"/>
      <c r="F15" s="13" t="s">
        <v>165</v>
      </c>
      <c r="G15" s="13"/>
      <c r="H15" s="13" t="s">
        <v>166</v>
      </c>
      <c r="I15" s="13"/>
      <c r="J15" s="13" t="n">
        <v>2010</v>
      </c>
      <c r="K15" s="13" t="s">
        <v>167</v>
      </c>
      <c r="L15" s="13"/>
      <c r="M15" s="13" t="s">
        <v>159</v>
      </c>
      <c r="N15" s="13" t="s">
        <v>168</v>
      </c>
      <c r="O15" s="13"/>
      <c r="P15" s="13" t="s">
        <v>169</v>
      </c>
    </row>
    <row r="16" customFormat="false" ht="23.85" hidden="false" customHeight="false" outlineLevel="0" collapsed="false">
      <c r="A16" s="13" t="s">
        <v>170</v>
      </c>
      <c r="B16" s="13"/>
      <c r="C16" s="13" t="s">
        <v>163</v>
      </c>
      <c r="D16" s="13" t="s">
        <v>171</v>
      </c>
      <c r="E16" s="13"/>
      <c r="F16" s="13" t="s">
        <v>119</v>
      </c>
      <c r="G16" s="13"/>
      <c r="H16" s="13" t="s">
        <v>172</v>
      </c>
      <c r="I16" s="13"/>
      <c r="J16" s="13" t="n">
        <v>2018</v>
      </c>
      <c r="K16" s="13" t="s">
        <v>167</v>
      </c>
      <c r="L16" s="13"/>
      <c r="M16" s="13" t="s">
        <v>159</v>
      </c>
      <c r="N16" s="13" t="s">
        <v>168</v>
      </c>
      <c r="O16" s="13"/>
      <c r="P16" s="13" t="s">
        <v>169</v>
      </c>
    </row>
    <row r="17" customFormat="false" ht="23.85" hidden="false" customHeight="false" outlineLevel="0" collapsed="false">
      <c r="A17" s="13" t="s">
        <v>173</v>
      </c>
      <c r="B17" s="13"/>
      <c r="C17" s="13" t="s">
        <v>163</v>
      </c>
      <c r="D17" s="13" t="s">
        <v>174</v>
      </c>
      <c r="E17" s="13"/>
      <c r="F17" s="13" t="s">
        <v>175</v>
      </c>
      <c r="G17" s="13"/>
      <c r="H17" s="13" t="s">
        <v>176</v>
      </c>
      <c r="I17" s="13"/>
      <c r="J17" s="13" t="n">
        <v>2024</v>
      </c>
      <c r="K17" s="13" t="s">
        <v>177</v>
      </c>
      <c r="L17" s="13"/>
      <c r="M17" s="13" t="s">
        <v>159</v>
      </c>
      <c r="N17" s="13" t="s">
        <v>168</v>
      </c>
      <c r="O17" s="13"/>
      <c r="P17" s="13" t="s">
        <v>169</v>
      </c>
    </row>
    <row r="18" customFormat="false" ht="23.85" hidden="false" customHeight="false" outlineLevel="0" collapsed="false">
      <c r="A18" s="13" t="s">
        <v>178</v>
      </c>
      <c r="B18" s="13"/>
      <c r="C18" s="13" t="s">
        <v>163</v>
      </c>
      <c r="D18" s="13" t="s">
        <v>179</v>
      </c>
      <c r="E18" s="13"/>
      <c r="F18" s="13" t="s">
        <v>180</v>
      </c>
      <c r="G18" s="13"/>
      <c r="H18" s="13" t="s">
        <v>113</v>
      </c>
      <c r="I18" s="13"/>
      <c r="J18" s="13"/>
      <c r="K18" s="13" t="s">
        <v>181</v>
      </c>
      <c r="L18" s="13"/>
      <c r="M18" s="13" t="s">
        <v>182</v>
      </c>
      <c r="N18" s="13" t="s">
        <v>168</v>
      </c>
      <c r="O18" s="13"/>
      <c r="P18" s="13" t="s">
        <v>183</v>
      </c>
    </row>
    <row r="19" customFormat="false" ht="23.85" hidden="false" customHeight="false" outlineLevel="0" collapsed="false">
      <c r="A19" s="13" t="s">
        <v>184</v>
      </c>
      <c r="B19" s="13"/>
      <c r="C19" s="13" t="s">
        <v>163</v>
      </c>
      <c r="D19" s="13" t="s">
        <v>185</v>
      </c>
      <c r="E19" s="13"/>
      <c r="F19" s="13" t="s">
        <v>186</v>
      </c>
      <c r="G19" s="13"/>
      <c r="H19" s="13" t="s">
        <v>187</v>
      </c>
      <c r="I19" s="13"/>
      <c r="J19" s="13" t="n">
        <v>2020</v>
      </c>
      <c r="K19" s="13" t="s">
        <v>188</v>
      </c>
      <c r="L19" s="13" t="s">
        <v>189</v>
      </c>
      <c r="M19" s="13" t="s">
        <v>190</v>
      </c>
      <c r="N19" s="13" t="s">
        <v>168</v>
      </c>
      <c r="O19" s="13"/>
      <c r="P19" s="13" t="s">
        <v>191</v>
      </c>
    </row>
    <row r="20" customFormat="false" ht="23.85" hidden="false" customHeight="false" outlineLevel="0" collapsed="false">
      <c r="A20" s="13" t="s">
        <v>192</v>
      </c>
      <c r="B20" s="13"/>
      <c r="C20" s="13" t="s">
        <v>163</v>
      </c>
      <c r="D20" s="13" t="s">
        <v>193</v>
      </c>
      <c r="E20" s="13"/>
      <c r="F20" s="13" t="s">
        <v>194</v>
      </c>
      <c r="G20" s="13"/>
      <c r="H20" s="13" t="s">
        <v>195</v>
      </c>
      <c r="I20" s="13"/>
      <c r="J20" s="13" t="n">
        <v>2015</v>
      </c>
      <c r="K20" s="13" t="s">
        <v>196</v>
      </c>
      <c r="L20" s="13" t="s">
        <v>189</v>
      </c>
      <c r="M20" s="13" t="s">
        <v>190</v>
      </c>
      <c r="N20" s="13" t="s">
        <v>168</v>
      </c>
      <c r="O20" s="13"/>
      <c r="P20" s="13" t="s">
        <v>197</v>
      </c>
    </row>
    <row r="21" customFormat="false" ht="23.85" hidden="false" customHeight="false" outlineLevel="0" collapsed="false">
      <c r="A21" s="13" t="s">
        <v>198</v>
      </c>
      <c r="B21" s="13"/>
      <c r="C21" s="13" t="s">
        <v>163</v>
      </c>
      <c r="D21" s="13" t="s">
        <v>199</v>
      </c>
      <c r="E21" s="13"/>
      <c r="F21" s="13" t="s">
        <v>200</v>
      </c>
      <c r="G21" s="13"/>
      <c r="H21" s="13" t="s">
        <v>201</v>
      </c>
      <c r="I21" s="13"/>
      <c r="J21" s="13" t="n">
        <v>2018</v>
      </c>
      <c r="K21" s="13" t="s">
        <v>202</v>
      </c>
      <c r="L21" s="13" t="s">
        <v>203</v>
      </c>
      <c r="M21" s="13" t="s">
        <v>190</v>
      </c>
      <c r="N21" s="13" t="s">
        <v>168</v>
      </c>
      <c r="O21" s="13"/>
      <c r="P21" s="13" t="s">
        <v>204</v>
      </c>
    </row>
    <row r="22" customFormat="false" ht="15" hidden="false" customHeight="false" outlineLevel="0" collapsed="false">
      <c r="A22" s="15" t="s">
        <v>205</v>
      </c>
      <c r="B22" s="15"/>
      <c r="C22" s="15" t="s">
        <v>206</v>
      </c>
      <c r="D22" s="15" t="s">
        <v>207</v>
      </c>
      <c r="E22" s="16" t="s">
        <v>208</v>
      </c>
      <c r="F22" s="15" t="s">
        <v>38</v>
      </c>
      <c r="G22" s="15" t="s">
        <v>209</v>
      </c>
      <c r="H22" s="15" t="s">
        <v>83</v>
      </c>
      <c r="I22" s="15" t="n">
        <v>1998</v>
      </c>
      <c r="J22" s="15" t="n">
        <v>2005</v>
      </c>
      <c r="K22" s="15" t="s">
        <v>210</v>
      </c>
      <c r="L22" s="15" t="s">
        <v>55</v>
      </c>
      <c r="M22" s="15" t="s">
        <v>211</v>
      </c>
      <c r="N22" s="15" t="s">
        <v>212</v>
      </c>
      <c r="O22" s="17" t="s">
        <v>213</v>
      </c>
      <c r="P22" s="15"/>
    </row>
    <row r="23" customFormat="false" ht="15" hidden="false" customHeight="false" outlineLevel="0" collapsed="false">
      <c r="A23" s="15" t="s">
        <v>214</v>
      </c>
      <c r="B23" s="15"/>
      <c r="C23" s="15" t="s">
        <v>206</v>
      </c>
      <c r="D23" s="15" t="s">
        <v>215</v>
      </c>
      <c r="E23" s="16" t="s">
        <v>216</v>
      </c>
      <c r="F23" s="15" t="s">
        <v>38</v>
      </c>
      <c r="G23" s="15" t="s">
        <v>217</v>
      </c>
      <c r="H23" s="15" t="s">
        <v>83</v>
      </c>
      <c r="I23" s="15" t="n">
        <v>2002</v>
      </c>
      <c r="J23" s="15" t="n">
        <v>2010</v>
      </c>
      <c r="K23" s="15" t="s">
        <v>210</v>
      </c>
      <c r="L23" s="15" t="s">
        <v>55</v>
      </c>
      <c r="M23" s="15" t="s">
        <v>211</v>
      </c>
      <c r="N23" s="15" t="s">
        <v>212</v>
      </c>
      <c r="O23" s="17" t="s">
        <v>218</v>
      </c>
      <c r="P23" s="15"/>
    </row>
    <row r="24" customFormat="false" ht="15" hidden="false" customHeight="false" outlineLevel="0" collapsed="false">
      <c r="A24" s="15" t="s">
        <v>219</v>
      </c>
      <c r="B24" s="15"/>
      <c r="C24" s="15" t="s">
        <v>206</v>
      </c>
      <c r="D24" s="15" t="s">
        <v>220</v>
      </c>
      <c r="E24" s="16" t="s">
        <v>221</v>
      </c>
      <c r="F24" s="15" t="s">
        <v>38</v>
      </c>
      <c r="G24" s="15" t="s">
        <v>222</v>
      </c>
      <c r="H24" s="15" t="s">
        <v>223</v>
      </c>
      <c r="I24" s="15" t="n">
        <v>1996</v>
      </c>
      <c r="J24" s="15" t="n">
        <v>2014</v>
      </c>
      <c r="K24" s="15" t="s">
        <v>224</v>
      </c>
      <c r="L24" s="15" t="s">
        <v>55</v>
      </c>
      <c r="M24" s="15" t="s">
        <v>211</v>
      </c>
      <c r="N24" s="15" t="s">
        <v>212</v>
      </c>
      <c r="O24" s="17" t="s">
        <v>225</v>
      </c>
      <c r="P24" s="15" t="s">
        <v>226</v>
      </c>
    </row>
    <row r="25" customFormat="false" ht="15" hidden="false" customHeight="false" outlineLevel="0" collapsed="false">
      <c r="A25" s="15" t="s">
        <v>227</v>
      </c>
      <c r="B25" s="15"/>
      <c r="C25" s="15" t="s">
        <v>206</v>
      </c>
      <c r="D25" s="15" t="s">
        <v>228</v>
      </c>
      <c r="E25" s="16" t="s">
        <v>229</v>
      </c>
      <c r="F25" s="15" t="s">
        <v>38</v>
      </c>
      <c r="G25" s="15" t="s">
        <v>230</v>
      </c>
      <c r="H25" s="15" t="s">
        <v>231</v>
      </c>
      <c r="I25" s="15" t="n">
        <v>2004</v>
      </c>
      <c r="J25" s="15" t="n">
        <v>2013</v>
      </c>
      <c r="K25" s="15" t="s">
        <v>84</v>
      </c>
      <c r="L25" s="15" t="s">
        <v>232</v>
      </c>
      <c r="M25" s="15" t="s">
        <v>211</v>
      </c>
      <c r="N25" s="15" t="s">
        <v>212</v>
      </c>
      <c r="O25" s="17" t="s">
        <v>233</v>
      </c>
      <c r="P25" s="15" t="s">
        <v>234</v>
      </c>
    </row>
    <row r="26" customFormat="false" ht="15" hidden="false" customHeight="false" outlineLevel="0" collapsed="false">
      <c r="A26" s="15" t="s">
        <v>235</v>
      </c>
      <c r="B26" s="15"/>
      <c r="C26" s="15" t="s">
        <v>206</v>
      </c>
      <c r="D26" s="15" t="s">
        <v>236</v>
      </c>
      <c r="E26" s="16" t="s">
        <v>237</v>
      </c>
      <c r="F26" s="15" t="s">
        <v>38</v>
      </c>
      <c r="G26" s="15" t="s">
        <v>238</v>
      </c>
      <c r="H26" s="15" t="s">
        <v>147</v>
      </c>
      <c r="I26" s="15"/>
      <c r="J26" s="15" t="n">
        <v>2013</v>
      </c>
      <c r="K26" s="15" t="s">
        <v>54</v>
      </c>
      <c r="L26" s="15" t="s">
        <v>55</v>
      </c>
      <c r="M26" s="15" t="s">
        <v>211</v>
      </c>
      <c r="N26" s="15" t="s">
        <v>212</v>
      </c>
      <c r="O26" s="17" t="s">
        <v>239</v>
      </c>
      <c r="P26" s="15" t="s">
        <v>240</v>
      </c>
    </row>
    <row r="27" customFormat="false" ht="23.85" hidden="false" customHeight="false" outlineLevel="0" collapsed="false">
      <c r="A27" s="15" t="s">
        <v>241</v>
      </c>
      <c r="B27" s="15"/>
      <c r="C27" s="15" t="s">
        <v>206</v>
      </c>
      <c r="D27" s="15" t="s">
        <v>242</v>
      </c>
      <c r="E27" s="16" t="s">
        <v>243</v>
      </c>
      <c r="F27" s="15" t="s">
        <v>38</v>
      </c>
      <c r="G27" s="15" t="s">
        <v>244</v>
      </c>
      <c r="H27" s="15" t="s">
        <v>83</v>
      </c>
      <c r="I27" s="15"/>
      <c r="J27" s="15" t="n">
        <v>2000</v>
      </c>
      <c r="K27" s="15" t="s">
        <v>245</v>
      </c>
      <c r="L27" s="15" t="s">
        <v>55</v>
      </c>
      <c r="M27" s="15" t="s">
        <v>190</v>
      </c>
      <c r="N27" s="15" t="s">
        <v>212</v>
      </c>
      <c r="O27" s="17" t="s">
        <v>246</v>
      </c>
      <c r="P27" s="15" t="s">
        <v>247</v>
      </c>
    </row>
    <row r="28" customFormat="false" ht="15" hidden="false" customHeight="false" outlineLevel="0" collapsed="false">
      <c r="A28" s="15" t="s">
        <v>248</v>
      </c>
      <c r="B28" s="15"/>
      <c r="C28" s="15" t="s">
        <v>206</v>
      </c>
      <c r="D28" s="15" t="s">
        <v>249</v>
      </c>
      <c r="E28" s="16" t="s">
        <v>250</v>
      </c>
      <c r="F28" s="15" t="s">
        <v>38</v>
      </c>
      <c r="G28" s="15" t="s">
        <v>251</v>
      </c>
      <c r="H28" s="15" t="s">
        <v>252</v>
      </c>
      <c r="I28" s="15" t="n">
        <v>1988</v>
      </c>
      <c r="J28" s="15" t="n">
        <v>2014</v>
      </c>
      <c r="K28" s="15" t="s">
        <v>253</v>
      </c>
      <c r="L28" s="15" t="s">
        <v>55</v>
      </c>
      <c r="M28" s="15" t="s">
        <v>211</v>
      </c>
      <c r="N28" s="15" t="s">
        <v>212</v>
      </c>
      <c r="O28" s="17" t="s">
        <v>254</v>
      </c>
      <c r="P28" s="15" t="s">
        <v>255</v>
      </c>
    </row>
    <row r="29" customFormat="false" ht="15" hidden="false" customHeight="false" outlineLevel="0" collapsed="false">
      <c r="A29" s="15" t="s">
        <v>256</v>
      </c>
      <c r="B29" s="15"/>
      <c r="C29" s="15" t="s">
        <v>206</v>
      </c>
      <c r="D29" s="15" t="s">
        <v>257</v>
      </c>
      <c r="E29" s="16" t="s">
        <v>258</v>
      </c>
      <c r="F29" s="15" t="s">
        <v>38</v>
      </c>
      <c r="G29" s="15"/>
      <c r="H29" s="15" t="s">
        <v>83</v>
      </c>
      <c r="I29" s="15"/>
      <c r="J29" s="15" t="n">
        <v>2016</v>
      </c>
      <c r="K29" s="15" t="s">
        <v>259</v>
      </c>
      <c r="L29" s="15" t="s">
        <v>55</v>
      </c>
      <c r="M29" s="15" t="s">
        <v>190</v>
      </c>
      <c r="N29" s="15" t="s">
        <v>212</v>
      </c>
      <c r="O29" s="17" t="s">
        <v>260</v>
      </c>
      <c r="P29" s="15"/>
    </row>
    <row r="30" customFormat="false" ht="15" hidden="false" customHeight="false" outlineLevel="0" collapsed="false">
      <c r="A30" s="15" t="s">
        <v>261</v>
      </c>
      <c r="B30" s="15"/>
      <c r="C30" s="15" t="s">
        <v>206</v>
      </c>
      <c r="D30" s="15" t="s">
        <v>262</v>
      </c>
      <c r="E30" s="16" t="s">
        <v>263</v>
      </c>
      <c r="F30" s="15" t="s">
        <v>38</v>
      </c>
      <c r="G30" s="15" t="s">
        <v>264</v>
      </c>
      <c r="H30" s="15" t="s">
        <v>265</v>
      </c>
      <c r="I30" s="15"/>
      <c r="J30" s="15" t="n">
        <v>2017</v>
      </c>
      <c r="K30" s="15" t="s">
        <v>266</v>
      </c>
      <c r="L30" s="15" t="s">
        <v>55</v>
      </c>
      <c r="M30" s="15" t="s">
        <v>190</v>
      </c>
      <c r="N30" s="15" t="s">
        <v>212</v>
      </c>
      <c r="O30" s="17" t="s">
        <v>267</v>
      </c>
      <c r="P30" s="15"/>
    </row>
    <row r="31" customFormat="false" ht="15" hidden="false" customHeight="false" outlineLevel="0" collapsed="false">
      <c r="A31" s="15" t="s">
        <v>268</v>
      </c>
      <c r="B31" s="15"/>
      <c r="C31" s="15" t="s">
        <v>206</v>
      </c>
      <c r="D31" s="15" t="s">
        <v>269</v>
      </c>
      <c r="E31" s="16" t="s">
        <v>270</v>
      </c>
      <c r="F31" s="15" t="s">
        <v>38</v>
      </c>
      <c r="G31" s="15"/>
      <c r="H31" s="15" t="s">
        <v>265</v>
      </c>
      <c r="I31" s="15"/>
      <c r="J31" s="15"/>
      <c r="K31" s="15" t="s">
        <v>190</v>
      </c>
      <c r="L31" s="15"/>
      <c r="M31" s="15" t="s">
        <v>190</v>
      </c>
      <c r="N31" s="15" t="s">
        <v>212</v>
      </c>
      <c r="O31" s="17" t="s">
        <v>271</v>
      </c>
      <c r="P31" s="15"/>
    </row>
    <row r="32" customFormat="false" ht="23.85" hidden="false" customHeight="false" outlineLevel="0" collapsed="false">
      <c r="A32" s="15" t="s">
        <v>272</v>
      </c>
      <c r="B32" s="15"/>
      <c r="C32" s="15" t="s">
        <v>206</v>
      </c>
      <c r="D32" s="15" t="s">
        <v>273</v>
      </c>
      <c r="E32" s="16" t="s">
        <v>274</v>
      </c>
      <c r="F32" s="15" t="s">
        <v>38</v>
      </c>
      <c r="G32" s="15" t="s">
        <v>275</v>
      </c>
      <c r="H32" s="15" t="s">
        <v>83</v>
      </c>
      <c r="I32" s="15"/>
      <c r="J32" s="15"/>
      <c r="K32" s="15" t="s">
        <v>266</v>
      </c>
      <c r="L32" s="15"/>
      <c r="M32" s="15" t="s">
        <v>182</v>
      </c>
      <c r="N32" s="15" t="s">
        <v>212</v>
      </c>
      <c r="O32" s="17" t="s">
        <v>276</v>
      </c>
      <c r="P32" s="15" t="s">
        <v>277</v>
      </c>
    </row>
    <row r="33" customFormat="false" ht="15" hidden="false" customHeight="false" outlineLevel="0" collapsed="false">
      <c r="A33" s="15" t="s">
        <v>278</v>
      </c>
      <c r="B33" s="15"/>
      <c r="C33" s="15" t="s">
        <v>206</v>
      </c>
      <c r="D33" s="15" t="s">
        <v>279</v>
      </c>
      <c r="E33" s="16" t="s">
        <v>280</v>
      </c>
      <c r="F33" s="15" t="s">
        <v>38</v>
      </c>
      <c r="G33" s="15" t="s">
        <v>244</v>
      </c>
      <c r="H33" s="15" t="s">
        <v>281</v>
      </c>
      <c r="I33" s="15"/>
      <c r="J33" s="15"/>
      <c r="K33" s="15" t="s">
        <v>282</v>
      </c>
      <c r="L33" s="15"/>
      <c r="M33" s="15" t="s">
        <v>190</v>
      </c>
      <c r="N33" s="15" t="s">
        <v>212</v>
      </c>
      <c r="O33" s="17" t="s">
        <v>283</v>
      </c>
      <c r="P33" s="15"/>
    </row>
    <row r="34" customFormat="false" ht="15" hidden="false" customHeight="false" outlineLevel="0" collapsed="false">
      <c r="A34" s="15" t="s">
        <v>284</v>
      </c>
      <c r="B34" s="15"/>
      <c r="C34" s="15" t="s">
        <v>206</v>
      </c>
      <c r="D34" s="15" t="s">
        <v>285</v>
      </c>
      <c r="E34" s="16" t="s">
        <v>286</v>
      </c>
      <c r="F34" s="15" t="s">
        <v>38</v>
      </c>
      <c r="G34" s="15"/>
      <c r="H34" s="15" t="s">
        <v>287</v>
      </c>
      <c r="I34" s="15"/>
      <c r="J34" s="15"/>
      <c r="K34" s="15" t="s">
        <v>190</v>
      </c>
      <c r="L34" s="15"/>
      <c r="M34" s="15" t="s">
        <v>190</v>
      </c>
      <c r="N34" s="15" t="s">
        <v>212</v>
      </c>
      <c r="O34" s="17" t="s">
        <v>288</v>
      </c>
      <c r="P34" s="15"/>
    </row>
    <row r="35" customFormat="false" ht="15" hidden="false" customHeight="false" outlineLevel="0" collapsed="false">
      <c r="A35" s="15" t="s">
        <v>289</v>
      </c>
      <c r="B35" s="15"/>
      <c r="C35" s="15" t="s">
        <v>206</v>
      </c>
      <c r="D35" s="15" t="s">
        <v>290</v>
      </c>
      <c r="E35" s="16" t="s">
        <v>291</v>
      </c>
      <c r="F35" s="15" t="s">
        <v>38</v>
      </c>
      <c r="G35" s="15"/>
      <c r="H35" s="15" t="s">
        <v>223</v>
      </c>
      <c r="I35" s="15"/>
      <c r="J35" s="15"/>
      <c r="K35" s="15" t="s">
        <v>292</v>
      </c>
      <c r="L35" s="15"/>
      <c r="M35" s="15" t="s">
        <v>190</v>
      </c>
      <c r="N35" s="15" t="s">
        <v>212</v>
      </c>
      <c r="O35" s="17" t="s">
        <v>293</v>
      </c>
      <c r="P35" s="15" t="s">
        <v>294</v>
      </c>
    </row>
    <row r="36" customFormat="false" ht="23.85" hidden="false" customHeight="false" outlineLevel="0" collapsed="false">
      <c r="A36" s="15" t="s">
        <v>295</v>
      </c>
      <c r="B36" s="15"/>
      <c r="C36" s="15" t="s">
        <v>206</v>
      </c>
      <c r="D36" s="15" t="s">
        <v>296</v>
      </c>
      <c r="E36" s="16" t="s">
        <v>297</v>
      </c>
      <c r="F36" s="15" t="s">
        <v>38</v>
      </c>
      <c r="G36" s="15"/>
      <c r="H36" s="15" t="s">
        <v>223</v>
      </c>
      <c r="I36" s="15" t="n">
        <v>2015</v>
      </c>
      <c r="J36" s="15" t="n">
        <v>2017</v>
      </c>
      <c r="K36" s="15" t="s">
        <v>298</v>
      </c>
      <c r="L36" s="15"/>
      <c r="M36" s="15" t="s">
        <v>182</v>
      </c>
      <c r="N36" s="15" t="s">
        <v>212</v>
      </c>
      <c r="O36" s="17" t="s">
        <v>299</v>
      </c>
      <c r="P36" s="15" t="s">
        <v>300</v>
      </c>
    </row>
    <row r="37" customFormat="false" ht="15" hidden="false" customHeight="false" outlineLevel="0" collapsed="false">
      <c r="A37" s="15" t="s">
        <v>301</v>
      </c>
      <c r="B37" s="15"/>
      <c r="C37" s="15" t="s">
        <v>206</v>
      </c>
      <c r="D37" s="15" t="s">
        <v>302</v>
      </c>
      <c r="E37" s="16" t="s">
        <v>303</v>
      </c>
      <c r="F37" s="15" t="s">
        <v>38</v>
      </c>
      <c r="G37" s="15"/>
      <c r="H37" s="15" t="s">
        <v>304</v>
      </c>
      <c r="I37" s="15"/>
      <c r="J37" s="15" t="n">
        <v>2013</v>
      </c>
      <c r="K37" s="15" t="s">
        <v>305</v>
      </c>
      <c r="L37" s="15" t="s">
        <v>55</v>
      </c>
      <c r="M37" s="15" t="s">
        <v>190</v>
      </c>
      <c r="N37" s="15" t="s">
        <v>212</v>
      </c>
      <c r="O37" s="17" t="s">
        <v>306</v>
      </c>
      <c r="P37" s="15"/>
    </row>
    <row r="38" customFormat="false" ht="23.85" hidden="false" customHeight="false" outlineLevel="0" collapsed="false">
      <c r="A38" s="15" t="s">
        <v>307</v>
      </c>
      <c r="B38" s="15"/>
      <c r="C38" s="15" t="s">
        <v>206</v>
      </c>
      <c r="D38" s="15" t="s">
        <v>308</v>
      </c>
      <c r="E38" s="16" t="s">
        <v>309</v>
      </c>
      <c r="F38" s="15" t="s">
        <v>38</v>
      </c>
      <c r="G38" s="15" t="s">
        <v>310</v>
      </c>
      <c r="H38" s="15" t="s">
        <v>311</v>
      </c>
      <c r="I38" s="15"/>
      <c r="J38" s="15"/>
      <c r="K38" s="15" t="s">
        <v>312</v>
      </c>
      <c r="L38" s="15"/>
      <c r="M38" s="15" t="s">
        <v>190</v>
      </c>
      <c r="N38" s="15" t="s">
        <v>212</v>
      </c>
      <c r="O38" s="17" t="s">
        <v>313</v>
      </c>
      <c r="P38" s="15" t="s">
        <v>314</v>
      </c>
    </row>
    <row r="39" customFormat="false" ht="15" hidden="false" customHeight="false" outlineLevel="0" collapsed="false">
      <c r="A39" s="15" t="s">
        <v>315</v>
      </c>
      <c r="B39" s="15"/>
      <c r="C39" s="15" t="s">
        <v>206</v>
      </c>
      <c r="D39" s="15" t="s">
        <v>316</v>
      </c>
      <c r="E39" s="16" t="s">
        <v>317</v>
      </c>
      <c r="F39" s="15" t="s">
        <v>38</v>
      </c>
      <c r="G39" s="15" t="s">
        <v>318</v>
      </c>
      <c r="H39" s="15" t="s">
        <v>83</v>
      </c>
      <c r="I39" s="15"/>
      <c r="J39" s="15"/>
      <c r="K39" s="15" t="s">
        <v>190</v>
      </c>
      <c r="L39" s="15"/>
      <c r="M39" s="15" t="s">
        <v>190</v>
      </c>
      <c r="N39" s="15" t="s">
        <v>212</v>
      </c>
      <c r="O39" s="17" t="s">
        <v>319</v>
      </c>
      <c r="P39" s="15"/>
    </row>
    <row r="40" customFormat="false" ht="23.85" hidden="false" customHeight="false" outlineLevel="0" collapsed="false">
      <c r="A40" s="15" t="s">
        <v>320</v>
      </c>
      <c r="B40" s="15"/>
      <c r="C40" s="15" t="s">
        <v>206</v>
      </c>
      <c r="D40" s="15" t="s">
        <v>321</v>
      </c>
      <c r="E40" s="16" t="s">
        <v>322</v>
      </c>
      <c r="F40" s="15" t="s">
        <v>38</v>
      </c>
      <c r="G40" s="15" t="s">
        <v>323</v>
      </c>
      <c r="H40" s="15" t="s">
        <v>324</v>
      </c>
      <c r="I40" s="15"/>
      <c r="J40" s="15" t="n">
        <v>2020</v>
      </c>
      <c r="K40" s="15" t="s">
        <v>54</v>
      </c>
      <c r="L40" s="15" t="s">
        <v>55</v>
      </c>
      <c r="M40" s="15" t="s">
        <v>211</v>
      </c>
      <c r="N40" s="15" t="s">
        <v>212</v>
      </c>
      <c r="O40" s="17" t="s">
        <v>325</v>
      </c>
      <c r="P40" s="15" t="s">
        <v>326</v>
      </c>
    </row>
    <row r="41" customFormat="false" ht="15" hidden="false" customHeight="false" outlineLevel="0" collapsed="false">
      <c r="A41" s="15" t="s">
        <v>327</v>
      </c>
      <c r="B41" s="15"/>
      <c r="C41" s="15" t="s">
        <v>206</v>
      </c>
      <c r="D41" s="15" t="s">
        <v>328</v>
      </c>
      <c r="E41" s="16" t="s">
        <v>329</v>
      </c>
      <c r="F41" s="15" t="s">
        <v>38</v>
      </c>
      <c r="G41" s="15" t="s">
        <v>217</v>
      </c>
      <c r="H41" s="15" t="s">
        <v>83</v>
      </c>
      <c r="I41" s="15"/>
      <c r="J41" s="15" t="n">
        <v>2013</v>
      </c>
      <c r="K41" s="15" t="s">
        <v>330</v>
      </c>
      <c r="L41" s="15"/>
      <c r="M41" s="15" t="s">
        <v>182</v>
      </c>
      <c r="N41" s="15" t="s">
        <v>212</v>
      </c>
      <c r="O41" s="17" t="s">
        <v>331</v>
      </c>
      <c r="P41" s="15" t="s">
        <v>332</v>
      </c>
    </row>
    <row r="42" customFormat="false" ht="15" hidden="false" customHeight="false" outlineLevel="0" collapsed="false">
      <c r="A42" s="15" t="s">
        <v>333</v>
      </c>
      <c r="B42" s="15"/>
      <c r="C42" s="15" t="s">
        <v>206</v>
      </c>
      <c r="D42" s="15" t="s">
        <v>334</v>
      </c>
      <c r="E42" s="16" t="s">
        <v>335</v>
      </c>
      <c r="F42" s="15" t="s">
        <v>38</v>
      </c>
      <c r="G42" s="15" t="s">
        <v>244</v>
      </c>
      <c r="H42" s="15" t="s">
        <v>83</v>
      </c>
      <c r="I42" s="15"/>
      <c r="J42" s="15"/>
      <c r="K42" s="15" t="s">
        <v>190</v>
      </c>
      <c r="L42" s="15"/>
      <c r="M42" s="15" t="s">
        <v>190</v>
      </c>
      <c r="N42" s="15" t="s">
        <v>212</v>
      </c>
      <c r="O42" s="17" t="s">
        <v>336</v>
      </c>
      <c r="P42" s="15"/>
    </row>
    <row r="43" customFormat="false" ht="15" hidden="false" customHeight="false" outlineLevel="0" collapsed="false">
      <c r="A43" s="15" t="s">
        <v>337</v>
      </c>
      <c r="B43" s="15"/>
      <c r="C43" s="15" t="s">
        <v>206</v>
      </c>
      <c r="D43" s="15" t="s">
        <v>338</v>
      </c>
      <c r="E43" s="16" t="s">
        <v>339</v>
      </c>
      <c r="F43" s="15" t="s">
        <v>38</v>
      </c>
      <c r="G43" s="15" t="s">
        <v>340</v>
      </c>
      <c r="H43" s="15" t="s">
        <v>83</v>
      </c>
      <c r="I43" s="15"/>
      <c r="J43" s="15" t="n">
        <v>2016</v>
      </c>
      <c r="K43" s="15" t="s">
        <v>341</v>
      </c>
      <c r="L43" s="15" t="s">
        <v>55</v>
      </c>
      <c r="M43" s="15" t="s">
        <v>211</v>
      </c>
      <c r="N43" s="15" t="s">
        <v>212</v>
      </c>
      <c r="O43" s="17" t="s">
        <v>342</v>
      </c>
      <c r="P43" s="15"/>
    </row>
    <row r="44" customFormat="false" ht="15" hidden="false" customHeight="false" outlineLevel="0" collapsed="false">
      <c r="A44" s="15" t="s">
        <v>343</v>
      </c>
      <c r="B44" s="15"/>
      <c r="C44" s="15" t="s">
        <v>206</v>
      </c>
      <c r="D44" s="15" t="s">
        <v>344</v>
      </c>
      <c r="E44" s="16" t="s">
        <v>345</v>
      </c>
      <c r="F44" s="15" t="s">
        <v>38</v>
      </c>
      <c r="G44" s="15"/>
      <c r="H44" s="15" t="s">
        <v>83</v>
      </c>
      <c r="I44" s="15"/>
      <c r="J44" s="15"/>
      <c r="K44" s="15" t="s">
        <v>190</v>
      </c>
      <c r="L44" s="15"/>
      <c r="M44" s="15" t="s">
        <v>190</v>
      </c>
      <c r="N44" s="15" t="s">
        <v>212</v>
      </c>
      <c r="O44" s="17" t="s">
        <v>346</v>
      </c>
      <c r="P44" s="15"/>
    </row>
    <row r="45" customFormat="false" ht="15" hidden="false" customHeight="false" outlineLevel="0" collapsed="false">
      <c r="A45" s="15" t="s">
        <v>347</v>
      </c>
      <c r="B45" s="15"/>
      <c r="C45" s="15" t="s">
        <v>206</v>
      </c>
      <c r="D45" s="15" t="s">
        <v>348</v>
      </c>
      <c r="E45" s="16" t="s">
        <v>349</v>
      </c>
      <c r="F45" s="15" t="s">
        <v>38</v>
      </c>
      <c r="G45" s="15" t="s">
        <v>340</v>
      </c>
      <c r="H45" s="15" t="s">
        <v>83</v>
      </c>
      <c r="I45" s="15"/>
      <c r="J45" s="15" t="n">
        <v>2013</v>
      </c>
      <c r="K45" s="15" t="s">
        <v>350</v>
      </c>
      <c r="L45" s="15" t="s">
        <v>55</v>
      </c>
      <c r="M45" s="15" t="s">
        <v>211</v>
      </c>
      <c r="N45" s="15" t="s">
        <v>212</v>
      </c>
      <c r="O45" s="17" t="s">
        <v>351</v>
      </c>
      <c r="P45" s="15" t="s">
        <v>352</v>
      </c>
    </row>
    <row r="46" customFormat="false" ht="23.85" hidden="false" customHeight="false" outlineLevel="0" collapsed="false">
      <c r="A46" s="15" t="s">
        <v>353</v>
      </c>
      <c r="B46" s="15"/>
      <c r="C46" s="15" t="s">
        <v>206</v>
      </c>
      <c r="D46" s="15" t="s">
        <v>354</v>
      </c>
      <c r="E46" s="16" t="s">
        <v>355</v>
      </c>
      <c r="F46" s="15" t="s">
        <v>38</v>
      </c>
      <c r="G46" s="15" t="s">
        <v>217</v>
      </c>
      <c r="H46" s="15" t="s">
        <v>83</v>
      </c>
      <c r="I46" s="15"/>
      <c r="J46" s="15" t="n">
        <v>2022</v>
      </c>
      <c r="K46" s="15" t="s">
        <v>356</v>
      </c>
      <c r="L46" s="15" t="s">
        <v>55</v>
      </c>
      <c r="M46" s="15" t="s">
        <v>190</v>
      </c>
      <c r="N46" s="15" t="s">
        <v>212</v>
      </c>
      <c r="O46" s="17" t="s">
        <v>357</v>
      </c>
      <c r="P46" s="15"/>
    </row>
    <row r="47" customFormat="false" ht="15" hidden="false" customHeight="false" outlineLevel="0" collapsed="false">
      <c r="A47" s="15" t="s">
        <v>358</v>
      </c>
      <c r="B47" s="15"/>
      <c r="C47" s="15" t="s">
        <v>206</v>
      </c>
      <c r="D47" s="15" t="s">
        <v>359</v>
      </c>
      <c r="E47" s="16" t="s">
        <v>360</v>
      </c>
      <c r="F47" s="15" t="s">
        <v>38</v>
      </c>
      <c r="G47" s="15" t="s">
        <v>361</v>
      </c>
      <c r="H47" s="15" t="s">
        <v>83</v>
      </c>
      <c r="I47" s="15"/>
      <c r="J47" s="15" t="n">
        <v>2018</v>
      </c>
      <c r="K47" s="15" t="s">
        <v>54</v>
      </c>
      <c r="L47" s="15" t="s">
        <v>55</v>
      </c>
      <c r="M47" s="15" t="s">
        <v>211</v>
      </c>
      <c r="N47" s="15" t="s">
        <v>212</v>
      </c>
      <c r="O47" s="17" t="s">
        <v>357</v>
      </c>
      <c r="P47" s="15"/>
    </row>
    <row r="48" customFormat="false" ht="15" hidden="false" customHeight="false" outlineLevel="0" collapsed="false">
      <c r="A48" s="15" t="s">
        <v>362</v>
      </c>
      <c r="B48" s="15"/>
      <c r="C48" s="15" t="s">
        <v>206</v>
      </c>
      <c r="D48" s="15" t="s">
        <v>363</v>
      </c>
      <c r="E48" s="16" t="s">
        <v>364</v>
      </c>
      <c r="F48" s="15" t="s">
        <v>38</v>
      </c>
      <c r="G48" s="15" t="s">
        <v>365</v>
      </c>
      <c r="H48" s="15" t="s">
        <v>366</v>
      </c>
      <c r="I48" s="15" t="n">
        <v>1994</v>
      </c>
      <c r="J48" s="15" t="n">
        <v>2016</v>
      </c>
      <c r="K48" s="15" t="s">
        <v>367</v>
      </c>
      <c r="L48" s="15" t="s">
        <v>55</v>
      </c>
      <c r="M48" s="15" t="s">
        <v>211</v>
      </c>
      <c r="N48" s="15" t="s">
        <v>212</v>
      </c>
      <c r="O48" s="17" t="s">
        <v>368</v>
      </c>
      <c r="P48" s="15" t="s">
        <v>369</v>
      </c>
    </row>
    <row r="49" customFormat="false" ht="23.85" hidden="false" customHeight="false" outlineLevel="0" collapsed="false">
      <c r="A49" s="15" t="s">
        <v>370</v>
      </c>
      <c r="B49" s="15"/>
      <c r="C49" s="15" t="s">
        <v>206</v>
      </c>
      <c r="D49" s="15" t="s">
        <v>371</v>
      </c>
      <c r="E49" s="16" t="s">
        <v>372</v>
      </c>
      <c r="F49" s="15" t="s">
        <v>38</v>
      </c>
      <c r="G49" s="15" t="s">
        <v>373</v>
      </c>
      <c r="H49" s="15" t="s">
        <v>281</v>
      </c>
      <c r="I49" s="15"/>
      <c r="J49" s="15" t="n">
        <v>2014</v>
      </c>
      <c r="K49" s="15" t="s">
        <v>374</v>
      </c>
      <c r="L49" s="15"/>
      <c r="M49" s="15" t="s">
        <v>182</v>
      </c>
      <c r="N49" s="15" t="s">
        <v>212</v>
      </c>
      <c r="O49" s="17" t="s">
        <v>368</v>
      </c>
      <c r="P49" s="15" t="s">
        <v>375</v>
      </c>
    </row>
    <row r="50" customFormat="false" ht="15" hidden="false" customHeight="false" outlineLevel="0" collapsed="false">
      <c r="A50" s="15" t="s">
        <v>376</v>
      </c>
      <c r="B50" s="15"/>
      <c r="C50" s="15" t="s">
        <v>206</v>
      </c>
      <c r="D50" s="15" t="s">
        <v>377</v>
      </c>
      <c r="E50" s="16" t="s">
        <v>378</v>
      </c>
      <c r="F50" s="15" t="s">
        <v>38</v>
      </c>
      <c r="G50" s="15" t="s">
        <v>39</v>
      </c>
      <c r="H50" s="15" t="s">
        <v>83</v>
      </c>
      <c r="I50" s="15"/>
      <c r="J50" s="15"/>
      <c r="K50" s="15" t="s">
        <v>190</v>
      </c>
      <c r="L50" s="15"/>
      <c r="M50" s="15" t="s">
        <v>190</v>
      </c>
      <c r="N50" s="15" t="s">
        <v>212</v>
      </c>
      <c r="O50" s="17" t="s">
        <v>368</v>
      </c>
      <c r="P50" s="15" t="s">
        <v>379</v>
      </c>
    </row>
    <row r="51" customFormat="false" ht="15" hidden="false" customHeight="false" outlineLevel="0" collapsed="false">
      <c r="A51" s="15" t="s">
        <v>380</v>
      </c>
      <c r="B51" s="15"/>
      <c r="C51" s="15" t="s">
        <v>206</v>
      </c>
      <c r="D51" s="15" t="s">
        <v>381</v>
      </c>
      <c r="E51" s="16" t="s">
        <v>382</v>
      </c>
      <c r="F51" s="15" t="s">
        <v>38</v>
      </c>
      <c r="G51" s="15"/>
      <c r="H51" s="15" t="s">
        <v>83</v>
      </c>
      <c r="I51" s="15"/>
      <c r="J51" s="15"/>
      <c r="K51" s="15" t="s">
        <v>190</v>
      </c>
      <c r="L51" s="15"/>
      <c r="M51" s="15" t="s">
        <v>190</v>
      </c>
      <c r="N51" s="15" t="s">
        <v>212</v>
      </c>
      <c r="O51" s="17" t="s">
        <v>368</v>
      </c>
      <c r="P51" s="15"/>
    </row>
    <row r="52" customFormat="false" ht="15" hidden="false" customHeight="false" outlineLevel="0" collapsed="false">
      <c r="A52" s="15" t="s">
        <v>383</v>
      </c>
      <c r="B52" s="15"/>
      <c r="C52" s="15" t="s">
        <v>206</v>
      </c>
      <c r="D52" s="15" t="s">
        <v>384</v>
      </c>
      <c r="E52" s="16" t="s">
        <v>385</v>
      </c>
      <c r="F52" s="15" t="s">
        <v>38</v>
      </c>
      <c r="G52" s="15" t="s">
        <v>361</v>
      </c>
      <c r="H52" s="15" t="s">
        <v>83</v>
      </c>
      <c r="I52" s="15"/>
      <c r="J52" s="15" t="n">
        <v>2016</v>
      </c>
      <c r="K52" s="15" t="s">
        <v>386</v>
      </c>
      <c r="L52" s="15" t="s">
        <v>55</v>
      </c>
      <c r="M52" s="15" t="s">
        <v>190</v>
      </c>
      <c r="N52" s="15" t="s">
        <v>387</v>
      </c>
      <c r="O52" s="15"/>
      <c r="P52" s="15"/>
    </row>
    <row r="53" customFormat="false" ht="15" hidden="false" customHeight="false" outlineLevel="0" collapsed="false">
      <c r="A53" s="15" t="s">
        <v>388</v>
      </c>
      <c r="B53" s="15"/>
      <c r="C53" s="15" t="s">
        <v>206</v>
      </c>
      <c r="D53" s="15" t="s">
        <v>389</v>
      </c>
      <c r="E53" s="16" t="s">
        <v>390</v>
      </c>
      <c r="F53" s="15" t="s">
        <v>38</v>
      </c>
      <c r="G53" s="15" t="s">
        <v>82</v>
      </c>
      <c r="H53" s="15" t="s">
        <v>281</v>
      </c>
      <c r="I53" s="15"/>
      <c r="J53" s="15" t="n">
        <v>2021</v>
      </c>
      <c r="K53" s="15" t="s">
        <v>386</v>
      </c>
      <c r="L53" s="15" t="s">
        <v>55</v>
      </c>
      <c r="M53" s="15" t="s">
        <v>190</v>
      </c>
      <c r="N53" s="15" t="s">
        <v>387</v>
      </c>
      <c r="O53" s="15"/>
      <c r="P53" s="15"/>
    </row>
    <row r="54" customFormat="false" ht="15" hidden="false" customHeight="false" outlineLevel="0" collapsed="false">
      <c r="A54" s="15" t="s">
        <v>391</v>
      </c>
      <c r="B54" s="15"/>
      <c r="C54" s="15" t="s">
        <v>206</v>
      </c>
      <c r="D54" s="15" t="s">
        <v>392</v>
      </c>
      <c r="E54" s="16" t="s">
        <v>393</v>
      </c>
      <c r="F54" s="15" t="s">
        <v>38</v>
      </c>
      <c r="G54" s="15" t="s">
        <v>365</v>
      </c>
      <c r="H54" s="15" t="s">
        <v>83</v>
      </c>
      <c r="I54" s="15"/>
      <c r="J54" s="15" t="n">
        <v>2015</v>
      </c>
      <c r="K54" s="15" t="s">
        <v>386</v>
      </c>
      <c r="L54" s="15" t="s">
        <v>55</v>
      </c>
      <c r="M54" s="15" t="s">
        <v>190</v>
      </c>
      <c r="N54" s="15" t="s">
        <v>387</v>
      </c>
      <c r="O54" s="15"/>
      <c r="P54" s="15"/>
    </row>
    <row r="55" customFormat="false" ht="15" hidden="false" customHeight="false" outlineLevel="0" collapsed="false">
      <c r="A55" s="15" t="s">
        <v>394</v>
      </c>
      <c r="B55" s="15"/>
      <c r="C55" s="15" t="s">
        <v>206</v>
      </c>
      <c r="D55" s="15" t="s">
        <v>395</v>
      </c>
      <c r="E55" s="16" t="s">
        <v>396</v>
      </c>
      <c r="F55" s="15" t="s">
        <v>38</v>
      </c>
      <c r="G55" s="15" t="s">
        <v>264</v>
      </c>
      <c r="H55" s="15" t="s">
        <v>223</v>
      </c>
      <c r="I55" s="15"/>
      <c r="J55" s="15" t="n">
        <v>2014</v>
      </c>
      <c r="K55" s="15" t="s">
        <v>386</v>
      </c>
      <c r="L55" s="15" t="s">
        <v>55</v>
      </c>
      <c r="M55" s="15" t="s">
        <v>190</v>
      </c>
      <c r="N55" s="15" t="s">
        <v>387</v>
      </c>
      <c r="O55" s="15"/>
      <c r="P55" s="15"/>
    </row>
    <row r="56" customFormat="false" ht="23.85" hidden="false" customHeight="false" outlineLevel="0" collapsed="false">
      <c r="A56" s="15" t="s">
        <v>397</v>
      </c>
      <c r="B56" s="15"/>
      <c r="C56" s="15" t="s">
        <v>206</v>
      </c>
      <c r="D56" s="15" t="s">
        <v>398</v>
      </c>
      <c r="E56" s="16" t="s">
        <v>399</v>
      </c>
      <c r="F56" s="15" t="s">
        <v>38</v>
      </c>
      <c r="G56" s="15" t="s">
        <v>400</v>
      </c>
      <c r="H56" s="15" t="s">
        <v>83</v>
      </c>
      <c r="I56" s="15" t="n">
        <v>1989</v>
      </c>
      <c r="J56" s="15" t="n">
        <v>2006</v>
      </c>
      <c r="K56" s="15" t="s">
        <v>401</v>
      </c>
      <c r="L56" s="15" t="s">
        <v>55</v>
      </c>
      <c r="M56" s="15" t="s">
        <v>190</v>
      </c>
      <c r="N56" s="15" t="s">
        <v>387</v>
      </c>
      <c r="O56" s="15"/>
      <c r="P56" s="15" t="s">
        <v>402</v>
      </c>
    </row>
    <row r="57" customFormat="false" ht="23.85" hidden="false" customHeight="false" outlineLevel="0" collapsed="false">
      <c r="A57" s="15" t="s">
        <v>403</v>
      </c>
      <c r="B57" s="15"/>
      <c r="C57" s="15" t="s">
        <v>206</v>
      </c>
      <c r="D57" s="15" t="s">
        <v>404</v>
      </c>
      <c r="E57" s="16" t="s">
        <v>405</v>
      </c>
      <c r="F57" s="15" t="s">
        <v>51</v>
      </c>
      <c r="G57" s="15" t="s">
        <v>406</v>
      </c>
      <c r="H57" s="15" t="s">
        <v>407</v>
      </c>
      <c r="I57" s="15" t="n">
        <v>1952</v>
      </c>
      <c r="J57" s="15" t="n">
        <v>1983</v>
      </c>
      <c r="K57" s="15" t="s">
        <v>408</v>
      </c>
      <c r="L57" s="15" t="s">
        <v>55</v>
      </c>
      <c r="M57" s="15" t="s">
        <v>211</v>
      </c>
      <c r="N57" s="15" t="s">
        <v>409</v>
      </c>
      <c r="O57" s="15"/>
      <c r="P57" s="15" t="s">
        <v>410</v>
      </c>
    </row>
    <row r="58" customFormat="false" ht="23.85" hidden="false" customHeight="false" outlineLevel="0" collapsed="false">
      <c r="A58" s="15" t="s">
        <v>411</v>
      </c>
      <c r="B58" s="15"/>
      <c r="C58" s="15" t="s">
        <v>206</v>
      </c>
      <c r="D58" s="15" t="s">
        <v>412</v>
      </c>
      <c r="E58" s="16" t="s">
        <v>413</v>
      </c>
      <c r="F58" s="15" t="s">
        <v>51</v>
      </c>
      <c r="G58" s="15" t="s">
        <v>414</v>
      </c>
      <c r="H58" s="15" t="s">
        <v>407</v>
      </c>
      <c r="I58" s="15" t="n">
        <v>1957</v>
      </c>
      <c r="J58" s="15" t="n">
        <v>1984</v>
      </c>
      <c r="K58" s="15" t="s">
        <v>408</v>
      </c>
      <c r="L58" s="15" t="s">
        <v>55</v>
      </c>
      <c r="M58" s="15" t="s">
        <v>211</v>
      </c>
      <c r="N58" s="15" t="s">
        <v>409</v>
      </c>
      <c r="O58" s="15"/>
      <c r="P58" s="15" t="s">
        <v>415</v>
      </c>
    </row>
    <row r="59" customFormat="false" ht="23.85" hidden="false" customHeight="false" outlineLevel="0" collapsed="false">
      <c r="A59" s="15" t="s">
        <v>416</v>
      </c>
      <c r="B59" s="15"/>
      <c r="C59" s="15" t="s">
        <v>206</v>
      </c>
      <c r="D59" s="15" t="s">
        <v>417</v>
      </c>
      <c r="E59" s="16" t="s">
        <v>418</v>
      </c>
      <c r="F59" s="15" t="s">
        <v>51</v>
      </c>
      <c r="G59" s="15" t="s">
        <v>419</v>
      </c>
      <c r="H59" s="15" t="s">
        <v>420</v>
      </c>
      <c r="I59" s="15" t="n">
        <v>1960</v>
      </c>
      <c r="J59" s="15" t="n">
        <v>1984</v>
      </c>
      <c r="K59" s="15" t="s">
        <v>408</v>
      </c>
      <c r="L59" s="15" t="s">
        <v>55</v>
      </c>
      <c r="M59" s="15" t="s">
        <v>211</v>
      </c>
      <c r="N59" s="15" t="s">
        <v>409</v>
      </c>
      <c r="O59" s="15"/>
      <c r="P59" s="15" t="s">
        <v>421</v>
      </c>
    </row>
    <row r="60" customFormat="false" ht="23.85" hidden="false" customHeight="false" outlineLevel="0" collapsed="false">
      <c r="A60" s="15" t="s">
        <v>422</v>
      </c>
      <c r="B60" s="15"/>
      <c r="C60" s="15" t="s">
        <v>206</v>
      </c>
      <c r="D60" s="15" t="s">
        <v>423</v>
      </c>
      <c r="E60" s="16" t="s">
        <v>424</v>
      </c>
      <c r="F60" s="15" t="s">
        <v>51</v>
      </c>
      <c r="G60" s="15" t="s">
        <v>52</v>
      </c>
      <c r="H60" s="15" t="s">
        <v>425</v>
      </c>
      <c r="I60" s="15" t="n">
        <v>1960</v>
      </c>
      <c r="J60" s="15" t="n">
        <v>1989</v>
      </c>
      <c r="K60" s="15" t="s">
        <v>408</v>
      </c>
      <c r="L60" s="15" t="s">
        <v>55</v>
      </c>
      <c r="M60" s="15" t="s">
        <v>211</v>
      </c>
      <c r="N60" s="15" t="s">
        <v>409</v>
      </c>
      <c r="O60" s="15"/>
      <c r="P60" s="15" t="s">
        <v>426</v>
      </c>
    </row>
    <row r="61" customFormat="false" ht="15" hidden="false" customHeight="false" outlineLevel="0" collapsed="false">
      <c r="A61" s="15" t="s">
        <v>427</v>
      </c>
      <c r="B61" s="15"/>
      <c r="C61" s="15" t="s">
        <v>206</v>
      </c>
      <c r="D61" s="15" t="s">
        <v>428</v>
      </c>
      <c r="E61" s="16" t="s">
        <v>429</v>
      </c>
      <c r="F61" s="15" t="s">
        <v>51</v>
      </c>
      <c r="G61" s="15" t="s">
        <v>430</v>
      </c>
      <c r="H61" s="15" t="s">
        <v>407</v>
      </c>
      <c r="I61" s="15" t="n">
        <v>1978</v>
      </c>
      <c r="J61" s="15" t="n">
        <v>2011</v>
      </c>
      <c r="K61" s="15" t="s">
        <v>54</v>
      </c>
      <c r="L61" s="15" t="s">
        <v>55</v>
      </c>
      <c r="M61" s="15" t="s">
        <v>211</v>
      </c>
      <c r="N61" s="15" t="s">
        <v>431</v>
      </c>
      <c r="O61" s="15"/>
      <c r="P61" s="15" t="s">
        <v>432</v>
      </c>
    </row>
    <row r="62" customFormat="false" ht="26.85" hidden="false" customHeight="false" outlineLevel="0" collapsed="false">
      <c r="A62" s="15" t="s">
        <v>433</v>
      </c>
      <c r="B62" s="15"/>
      <c r="C62" s="15" t="s">
        <v>206</v>
      </c>
      <c r="D62" s="15" t="s">
        <v>434</v>
      </c>
      <c r="E62" s="15"/>
      <c r="F62" s="15" t="s">
        <v>51</v>
      </c>
      <c r="G62" s="15" t="s">
        <v>435</v>
      </c>
      <c r="H62" s="15" t="s">
        <v>407</v>
      </c>
      <c r="I62" s="15" t="n">
        <v>2003</v>
      </c>
      <c r="J62" s="15" t="n">
        <v>2012</v>
      </c>
      <c r="K62" s="15" t="s">
        <v>436</v>
      </c>
      <c r="L62" s="15" t="s">
        <v>55</v>
      </c>
      <c r="M62" s="15" t="s">
        <v>211</v>
      </c>
      <c r="N62" s="15" t="s">
        <v>431</v>
      </c>
      <c r="O62" s="15"/>
      <c r="P62" s="15" t="s">
        <v>437</v>
      </c>
    </row>
    <row r="63" customFormat="false" ht="15" hidden="false" customHeight="false" outlineLevel="0" collapsed="false">
      <c r="A63" s="15" t="s">
        <v>438</v>
      </c>
      <c r="B63" s="15"/>
      <c r="C63" s="15" t="s">
        <v>206</v>
      </c>
      <c r="D63" s="15" t="s">
        <v>439</v>
      </c>
      <c r="E63" s="16" t="s">
        <v>440</v>
      </c>
      <c r="F63" s="15" t="s">
        <v>51</v>
      </c>
      <c r="G63" s="15" t="s">
        <v>441</v>
      </c>
      <c r="H63" s="15" t="s">
        <v>442</v>
      </c>
      <c r="I63" s="15" t="n">
        <v>2006</v>
      </c>
      <c r="J63" s="15" t="n">
        <v>2016</v>
      </c>
      <c r="K63" s="15" t="s">
        <v>54</v>
      </c>
      <c r="L63" s="15" t="s">
        <v>55</v>
      </c>
      <c r="M63" s="15" t="s">
        <v>211</v>
      </c>
      <c r="N63" s="15" t="s">
        <v>431</v>
      </c>
      <c r="O63" s="15"/>
      <c r="P63" s="15" t="s">
        <v>443</v>
      </c>
    </row>
    <row r="64" customFormat="false" ht="15" hidden="false" customHeight="false" outlineLevel="0" collapsed="false">
      <c r="A64" s="15" t="s">
        <v>444</v>
      </c>
      <c r="B64" s="15"/>
      <c r="C64" s="15" t="s">
        <v>206</v>
      </c>
      <c r="D64" s="15" t="s">
        <v>445</v>
      </c>
      <c r="E64" s="16" t="s">
        <v>446</v>
      </c>
      <c r="F64" s="15" t="s">
        <v>51</v>
      </c>
      <c r="G64" s="15" t="s">
        <v>447</v>
      </c>
      <c r="H64" s="15" t="s">
        <v>113</v>
      </c>
      <c r="I64" s="15" t="n">
        <v>2007</v>
      </c>
      <c r="J64" s="15" t="n">
        <v>2020</v>
      </c>
      <c r="K64" s="15" t="s">
        <v>54</v>
      </c>
      <c r="L64" s="15" t="s">
        <v>55</v>
      </c>
      <c r="M64" s="15" t="s">
        <v>211</v>
      </c>
      <c r="N64" s="15" t="s">
        <v>431</v>
      </c>
      <c r="O64" s="15"/>
      <c r="P64" s="15" t="s">
        <v>448</v>
      </c>
    </row>
    <row r="65" customFormat="false" ht="15" hidden="false" customHeight="false" outlineLevel="0" collapsed="false">
      <c r="A65" s="15" t="s">
        <v>449</v>
      </c>
      <c r="B65" s="15"/>
      <c r="C65" s="15" t="s">
        <v>206</v>
      </c>
      <c r="D65" s="15" t="s">
        <v>450</v>
      </c>
      <c r="E65" s="16" t="s">
        <v>451</v>
      </c>
      <c r="F65" s="15" t="s">
        <v>51</v>
      </c>
      <c r="G65" s="15" t="s">
        <v>406</v>
      </c>
      <c r="H65" s="15" t="s">
        <v>113</v>
      </c>
      <c r="I65" s="15" t="n">
        <v>1990</v>
      </c>
      <c r="J65" s="15" t="n">
        <v>2019</v>
      </c>
      <c r="K65" s="15" t="s">
        <v>54</v>
      </c>
      <c r="L65" s="15" t="s">
        <v>55</v>
      </c>
      <c r="M65" s="15" t="s">
        <v>211</v>
      </c>
      <c r="N65" s="15" t="s">
        <v>431</v>
      </c>
      <c r="O65" s="15"/>
      <c r="P65" s="15" t="s">
        <v>452</v>
      </c>
    </row>
    <row r="66" customFormat="false" ht="15" hidden="false" customHeight="false" outlineLevel="0" collapsed="false">
      <c r="A66" s="15" t="s">
        <v>453</v>
      </c>
      <c r="B66" s="15"/>
      <c r="C66" s="15" t="s">
        <v>206</v>
      </c>
      <c r="D66" s="15" t="s">
        <v>454</v>
      </c>
      <c r="E66" s="16" t="s">
        <v>455</v>
      </c>
      <c r="F66" s="15" t="s">
        <v>51</v>
      </c>
      <c r="G66" s="15" t="s">
        <v>456</v>
      </c>
      <c r="H66" s="15" t="s">
        <v>457</v>
      </c>
      <c r="I66" s="15" t="n">
        <v>2002</v>
      </c>
      <c r="J66" s="15" t="n">
        <v>2007</v>
      </c>
      <c r="K66" s="15" t="s">
        <v>458</v>
      </c>
      <c r="L66" s="15" t="s">
        <v>55</v>
      </c>
      <c r="M66" s="15" t="s">
        <v>211</v>
      </c>
      <c r="N66" s="15" t="s">
        <v>431</v>
      </c>
      <c r="O66" s="15"/>
      <c r="P66" s="15" t="s">
        <v>459</v>
      </c>
    </row>
    <row r="67" customFormat="false" ht="23.85" hidden="false" customHeight="false" outlineLevel="0" collapsed="false">
      <c r="A67" s="15" t="s">
        <v>460</v>
      </c>
      <c r="B67" s="15"/>
      <c r="C67" s="15" t="s">
        <v>206</v>
      </c>
      <c r="D67" s="15" t="s">
        <v>461</v>
      </c>
      <c r="E67" s="16" t="s">
        <v>462</v>
      </c>
      <c r="F67" s="15" t="s">
        <v>51</v>
      </c>
      <c r="G67" s="15" t="s">
        <v>463</v>
      </c>
      <c r="H67" s="15" t="s">
        <v>113</v>
      </c>
      <c r="I67" s="15" t="n">
        <v>1997</v>
      </c>
      <c r="J67" s="15" t="n">
        <v>2025</v>
      </c>
      <c r="K67" s="15" t="s">
        <v>464</v>
      </c>
      <c r="L67" s="15" t="s">
        <v>55</v>
      </c>
      <c r="M67" s="15" t="s">
        <v>211</v>
      </c>
      <c r="N67" s="15" t="s">
        <v>465</v>
      </c>
      <c r="O67" s="17" t="s">
        <v>466</v>
      </c>
      <c r="P67" s="15" t="s">
        <v>467</v>
      </c>
    </row>
    <row r="68" customFormat="false" ht="15" hidden="false" customHeight="false" outlineLevel="0" collapsed="false">
      <c r="A68" s="15" t="s">
        <v>468</v>
      </c>
      <c r="B68" s="15"/>
      <c r="C68" s="15" t="s">
        <v>206</v>
      </c>
      <c r="D68" s="15" t="s">
        <v>469</v>
      </c>
      <c r="E68" s="16" t="s">
        <v>470</v>
      </c>
      <c r="F68" s="15" t="s">
        <v>51</v>
      </c>
      <c r="G68" s="15" t="s">
        <v>471</v>
      </c>
      <c r="H68" s="15" t="s">
        <v>113</v>
      </c>
      <c r="I68" s="15" t="n">
        <v>1958</v>
      </c>
      <c r="J68" s="15" t="n">
        <v>1985</v>
      </c>
      <c r="K68" s="15" t="s">
        <v>472</v>
      </c>
      <c r="L68" s="15" t="s">
        <v>55</v>
      </c>
      <c r="M68" s="15" t="s">
        <v>211</v>
      </c>
      <c r="N68" s="15" t="s">
        <v>431</v>
      </c>
      <c r="O68" s="15"/>
      <c r="P68" s="15" t="s">
        <v>473</v>
      </c>
    </row>
    <row r="69" customFormat="false" ht="15" hidden="false" customHeight="false" outlineLevel="0" collapsed="false">
      <c r="A69" s="15" t="s">
        <v>474</v>
      </c>
      <c r="B69" s="15"/>
      <c r="C69" s="15" t="s">
        <v>206</v>
      </c>
      <c r="D69" s="15" t="s">
        <v>475</v>
      </c>
      <c r="E69" s="16" t="s">
        <v>476</v>
      </c>
      <c r="F69" s="15" t="s">
        <v>51</v>
      </c>
      <c r="G69" s="15" t="s">
        <v>477</v>
      </c>
      <c r="H69" s="15" t="s">
        <v>407</v>
      </c>
      <c r="I69" s="15" t="n">
        <v>1957</v>
      </c>
      <c r="J69" s="15" t="n">
        <v>1986</v>
      </c>
      <c r="K69" s="15" t="s">
        <v>54</v>
      </c>
      <c r="L69" s="15" t="s">
        <v>55</v>
      </c>
      <c r="M69" s="15" t="s">
        <v>211</v>
      </c>
      <c r="N69" s="15" t="s">
        <v>431</v>
      </c>
      <c r="O69" s="15"/>
      <c r="P69" s="15" t="s">
        <v>478</v>
      </c>
    </row>
    <row r="70" customFormat="false" ht="26.85" hidden="false" customHeight="false" outlineLevel="0" collapsed="false">
      <c r="A70" s="15" t="s">
        <v>479</v>
      </c>
      <c r="B70" s="15"/>
      <c r="C70" s="15" t="s">
        <v>206</v>
      </c>
      <c r="D70" s="15" t="s">
        <v>480</v>
      </c>
      <c r="E70" s="16" t="s">
        <v>481</v>
      </c>
      <c r="F70" s="15" t="s">
        <v>72</v>
      </c>
      <c r="G70" s="15" t="s">
        <v>482</v>
      </c>
      <c r="H70" s="15" t="s">
        <v>483</v>
      </c>
      <c r="I70" s="15" t="n">
        <v>1995</v>
      </c>
      <c r="J70" s="15" t="n">
        <v>2012</v>
      </c>
      <c r="K70" s="15" t="s">
        <v>484</v>
      </c>
      <c r="L70" s="15" t="s">
        <v>55</v>
      </c>
      <c r="M70" s="15" t="s">
        <v>211</v>
      </c>
      <c r="N70" s="15" t="s">
        <v>485</v>
      </c>
      <c r="O70" s="17" t="s">
        <v>486</v>
      </c>
      <c r="P70" s="15" t="s">
        <v>487</v>
      </c>
    </row>
    <row r="71" customFormat="false" ht="23.85" hidden="false" customHeight="false" outlineLevel="0" collapsed="false">
      <c r="A71" s="15" t="s">
        <v>488</v>
      </c>
      <c r="B71" s="15"/>
      <c r="C71" s="15" t="s">
        <v>206</v>
      </c>
      <c r="D71" s="15" t="s">
        <v>489</v>
      </c>
      <c r="E71" s="16" t="s">
        <v>490</v>
      </c>
      <c r="F71" s="15" t="s">
        <v>72</v>
      </c>
      <c r="G71" s="15"/>
      <c r="H71" s="15" t="s">
        <v>491</v>
      </c>
      <c r="I71" s="15"/>
      <c r="J71" s="15" t="n">
        <v>2016</v>
      </c>
      <c r="K71" s="15" t="s">
        <v>492</v>
      </c>
      <c r="L71" s="15" t="s">
        <v>55</v>
      </c>
      <c r="M71" s="15" t="s">
        <v>211</v>
      </c>
      <c r="N71" s="15" t="s">
        <v>493</v>
      </c>
      <c r="O71" s="17" t="s">
        <v>494</v>
      </c>
      <c r="P71" s="15"/>
    </row>
    <row r="72" customFormat="false" ht="23.85" hidden="false" customHeight="false" outlineLevel="0" collapsed="false">
      <c r="A72" s="15" t="s">
        <v>495</v>
      </c>
      <c r="B72" s="15"/>
      <c r="C72" s="15" t="s">
        <v>206</v>
      </c>
      <c r="D72" s="15" t="s">
        <v>496</v>
      </c>
      <c r="E72" s="16" t="s">
        <v>497</v>
      </c>
      <c r="F72" s="15" t="s">
        <v>72</v>
      </c>
      <c r="G72" s="15" t="s">
        <v>498</v>
      </c>
      <c r="H72" s="15" t="s">
        <v>499</v>
      </c>
      <c r="I72" s="15"/>
      <c r="J72" s="15" t="n">
        <v>2017</v>
      </c>
      <c r="K72" s="15" t="s">
        <v>54</v>
      </c>
      <c r="L72" s="15" t="s">
        <v>55</v>
      </c>
      <c r="M72" s="15" t="s">
        <v>211</v>
      </c>
      <c r="N72" s="15" t="s">
        <v>493</v>
      </c>
      <c r="O72" s="17" t="s">
        <v>494</v>
      </c>
      <c r="P72" s="15" t="s">
        <v>500</v>
      </c>
    </row>
    <row r="73" customFormat="false" ht="23.85" hidden="false" customHeight="false" outlineLevel="0" collapsed="false">
      <c r="A73" s="15" t="s">
        <v>501</v>
      </c>
      <c r="B73" s="15"/>
      <c r="C73" s="15" t="s">
        <v>206</v>
      </c>
      <c r="D73" s="15" t="s">
        <v>502</v>
      </c>
      <c r="E73" s="16" t="s">
        <v>503</v>
      </c>
      <c r="F73" s="15" t="s">
        <v>72</v>
      </c>
      <c r="G73" s="15" t="s">
        <v>504</v>
      </c>
      <c r="H73" s="15" t="s">
        <v>113</v>
      </c>
      <c r="I73" s="15"/>
      <c r="J73" s="15"/>
      <c r="K73" s="15" t="s">
        <v>505</v>
      </c>
      <c r="L73" s="15"/>
      <c r="M73" s="15" t="s">
        <v>190</v>
      </c>
      <c r="N73" s="15" t="s">
        <v>493</v>
      </c>
      <c r="O73" s="17" t="s">
        <v>494</v>
      </c>
      <c r="P73" s="15" t="s">
        <v>506</v>
      </c>
    </row>
    <row r="74" customFormat="false" ht="15" hidden="false" customHeight="false" outlineLevel="0" collapsed="false">
      <c r="A74" s="15" t="s">
        <v>507</v>
      </c>
      <c r="B74" s="15"/>
      <c r="C74" s="15" t="s">
        <v>206</v>
      </c>
      <c r="D74" s="15" t="s">
        <v>508</v>
      </c>
      <c r="E74" s="16" t="s">
        <v>509</v>
      </c>
      <c r="F74" s="15" t="s">
        <v>72</v>
      </c>
      <c r="G74" s="15" t="s">
        <v>498</v>
      </c>
      <c r="H74" s="15" t="s">
        <v>113</v>
      </c>
      <c r="I74" s="15"/>
      <c r="J74" s="15" t="n">
        <v>2021</v>
      </c>
      <c r="K74" s="15" t="s">
        <v>510</v>
      </c>
      <c r="L74" s="15" t="s">
        <v>55</v>
      </c>
      <c r="M74" s="15" t="s">
        <v>211</v>
      </c>
      <c r="N74" s="15" t="s">
        <v>511</v>
      </c>
      <c r="O74" s="15"/>
      <c r="P74" s="15" t="s">
        <v>512</v>
      </c>
    </row>
    <row r="75" customFormat="false" ht="15" hidden="false" customHeight="false" outlineLevel="0" collapsed="false">
      <c r="A75" s="15" t="s">
        <v>513</v>
      </c>
      <c r="B75" s="15"/>
      <c r="C75" s="15" t="s">
        <v>206</v>
      </c>
      <c r="D75" s="15" t="s">
        <v>514</v>
      </c>
      <c r="E75" s="16" t="s">
        <v>515</v>
      </c>
      <c r="F75" s="15" t="s">
        <v>72</v>
      </c>
      <c r="G75" s="15"/>
      <c r="H75" s="15" t="s">
        <v>190</v>
      </c>
      <c r="I75" s="15"/>
      <c r="J75" s="15" t="n">
        <v>2021</v>
      </c>
      <c r="K75" s="15" t="s">
        <v>516</v>
      </c>
      <c r="L75" s="15" t="s">
        <v>55</v>
      </c>
      <c r="M75" s="15" t="s">
        <v>211</v>
      </c>
      <c r="N75" s="15" t="s">
        <v>511</v>
      </c>
      <c r="O75" s="17" t="s">
        <v>517</v>
      </c>
      <c r="P75" s="15"/>
    </row>
    <row r="76" customFormat="false" ht="15" hidden="false" customHeight="false" outlineLevel="0" collapsed="false">
      <c r="A76" s="15" t="s">
        <v>518</v>
      </c>
      <c r="B76" s="15"/>
      <c r="C76" s="15" t="s">
        <v>206</v>
      </c>
      <c r="D76" s="15" t="s">
        <v>519</v>
      </c>
      <c r="E76" s="16" t="s">
        <v>520</v>
      </c>
      <c r="F76" s="15" t="s">
        <v>72</v>
      </c>
      <c r="G76" s="15"/>
      <c r="H76" s="15" t="s">
        <v>190</v>
      </c>
      <c r="I76" s="15"/>
      <c r="J76" s="15" t="n">
        <v>2026</v>
      </c>
      <c r="K76" s="15" t="s">
        <v>521</v>
      </c>
      <c r="L76" s="15" t="s">
        <v>55</v>
      </c>
      <c r="M76" s="15" t="s">
        <v>211</v>
      </c>
      <c r="N76" s="15" t="s">
        <v>522</v>
      </c>
      <c r="O76" s="15"/>
      <c r="P76" s="15" t="s">
        <v>523</v>
      </c>
    </row>
    <row r="77" customFormat="false" ht="23.85" hidden="false" customHeight="false" outlineLevel="0" collapsed="false">
      <c r="A77" s="15" t="s">
        <v>524</v>
      </c>
      <c r="B77" s="15"/>
      <c r="C77" s="15" t="s">
        <v>206</v>
      </c>
      <c r="D77" s="15" t="s">
        <v>525</v>
      </c>
      <c r="E77" s="16" t="s">
        <v>526</v>
      </c>
      <c r="F77" s="15" t="s">
        <v>72</v>
      </c>
      <c r="G77" s="15" t="s">
        <v>527</v>
      </c>
      <c r="H77" s="15" t="s">
        <v>113</v>
      </c>
      <c r="I77" s="15"/>
      <c r="J77" s="15"/>
      <c r="K77" s="15" t="s">
        <v>528</v>
      </c>
      <c r="L77" s="15" t="s">
        <v>189</v>
      </c>
      <c r="M77" s="15" t="s">
        <v>190</v>
      </c>
      <c r="N77" s="15" t="s">
        <v>529</v>
      </c>
      <c r="O77" s="17" t="s">
        <v>530</v>
      </c>
      <c r="P77" s="15" t="s">
        <v>531</v>
      </c>
    </row>
    <row r="78" customFormat="false" ht="23.85" hidden="false" customHeight="false" outlineLevel="0" collapsed="false">
      <c r="A78" s="15" t="s">
        <v>532</v>
      </c>
      <c r="B78" s="15"/>
      <c r="C78" s="15" t="s">
        <v>206</v>
      </c>
      <c r="D78" s="15" t="s">
        <v>533</v>
      </c>
      <c r="E78" s="16" t="s">
        <v>534</v>
      </c>
      <c r="F78" s="15" t="s">
        <v>72</v>
      </c>
      <c r="G78" s="15"/>
      <c r="H78" s="15" t="s">
        <v>176</v>
      </c>
      <c r="I78" s="15"/>
      <c r="J78" s="15"/>
      <c r="K78" s="15" t="s">
        <v>535</v>
      </c>
      <c r="L78" s="15" t="s">
        <v>55</v>
      </c>
      <c r="M78" s="15" t="s">
        <v>190</v>
      </c>
      <c r="N78" s="15" t="s">
        <v>536</v>
      </c>
      <c r="O78" s="17" t="s">
        <v>537</v>
      </c>
      <c r="P78" s="15"/>
    </row>
    <row r="79" customFormat="false" ht="15" hidden="false" customHeight="false" outlineLevel="0" collapsed="false">
      <c r="A79" s="15" t="s">
        <v>538</v>
      </c>
      <c r="B79" s="15"/>
      <c r="C79" s="15" t="s">
        <v>206</v>
      </c>
      <c r="D79" s="15" t="s">
        <v>539</v>
      </c>
      <c r="E79" s="16" t="s">
        <v>540</v>
      </c>
      <c r="F79" s="15" t="s">
        <v>91</v>
      </c>
      <c r="G79" s="15" t="s">
        <v>541</v>
      </c>
      <c r="H79" s="15" t="s">
        <v>542</v>
      </c>
      <c r="I79" s="15" t="n">
        <v>2001</v>
      </c>
      <c r="J79" s="15" t="n">
        <v>2025</v>
      </c>
      <c r="K79" s="15" t="s">
        <v>543</v>
      </c>
      <c r="L79" s="15" t="s">
        <v>55</v>
      </c>
      <c r="M79" s="15" t="s">
        <v>211</v>
      </c>
      <c r="N79" s="15" t="s">
        <v>465</v>
      </c>
      <c r="O79" s="17" t="s">
        <v>544</v>
      </c>
      <c r="P79" s="15" t="s">
        <v>545</v>
      </c>
    </row>
    <row r="80" customFormat="false" ht="15" hidden="false" customHeight="false" outlineLevel="0" collapsed="false">
      <c r="A80" s="15" t="s">
        <v>546</v>
      </c>
      <c r="B80" s="15"/>
      <c r="C80" s="15" t="s">
        <v>206</v>
      </c>
      <c r="D80" s="15" t="s">
        <v>547</v>
      </c>
      <c r="E80" s="16" t="s">
        <v>548</v>
      </c>
      <c r="F80" s="15" t="s">
        <v>91</v>
      </c>
      <c r="G80" s="15" t="s">
        <v>549</v>
      </c>
      <c r="H80" s="15" t="s">
        <v>113</v>
      </c>
      <c r="I80" s="15"/>
      <c r="J80" s="15" t="n">
        <v>2021</v>
      </c>
      <c r="K80" s="15" t="s">
        <v>550</v>
      </c>
      <c r="L80" s="15" t="s">
        <v>55</v>
      </c>
      <c r="M80" s="15" t="s">
        <v>211</v>
      </c>
      <c r="N80" s="15" t="s">
        <v>465</v>
      </c>
      <c r="O80" s="17" t="s">
        <v>551</v>
      </c>
      <c r="P80" s="15" t="s">
        <v>552</v>
      </c>
    </row>
    <row r="81" customFormat="false" ht="15" hidden="false" customHeight="false" outlineLevel="0" collapsed="false">
      <c r="A81" s="15" t="s">
        <v>553</v>
      </c>
      <c r="B81" s="15"/>
      <c r="C81" s="15" t="s">
        <v>206</v>
      </c>
      <c r="D81" s="15" t="s">
        <v>554</v>
      </c>
      <c r="E81" s="15"/>
      <c r="F81" s="15" t="s">
        <v>91</v>
      </c>
      <c r="G81" s="15" t="s">
        <v>555</v>
      </c>
      <c r="H81" s="15" t="s">
        <v>556</v>
      </c>
      <c r="I81" s="15"/>
      <c r="J81" s="15" t="n">
        <v>2016</v>
      </c>
      <c r="K81" s="15" t="s">
        <v>386</v>
      </c>
      <c r="L81" s="15" t="s">
        <v>55</v>
      </c>
      <c r="M81" s="15" t="s">
        <v>190</v>
      </c>
      <c r="N81" s="15" t="s">
        <v>465</v>
      </c>
      <c r="O81" s="17" t="s">
        <v>557</v>
      </c>
      <c r="P81" s="15" t="s">
        <v>558</v>
      </c>
    </row>
    <row r="82" customFormat="false" ht="15" hidden="false" customHeight="false" outlineLevel="0" collapsed="false">
      <c r="A82" s="15" t="s">
        <v>559</v>
      </c>
      <c r="B82" s="15"/>
      <c r="C82" s="15" t="s">
        <v>206</v>
      </c>
      <c r="D82" s="15" t="s">
        <v>560</v>
      </c>
      <c r="E82" s="15"/>
      <c r="F82" s="15" t="s">
        <v>91</v>
      </c>
      <c r="G82" s="15" t="s">
        <v>561</v>
      </c>
      <c r="H82" s="15" t="s">
        <v>407</v>
      </c>
      <c r="I82" s="15"/>
      <c r="J82" s="15" t="n">
        <v>2016</v>
      </c>
      <c r="K82" s="15" t="s">
        <v>386</v>
      </c>
      <c r="L82" s="15" t="s">
        <v>55</v>
      </c>
      <c r="M82" s="15" t="s">
        <v>190</v>
      </c>
      <c r="N82" s="15" t="s">
        <v>465</v>
      </c>
      <c r="O82" s="17" t="s">
        <v>557</v>
      </c>
      <c r="P82" s="15" t="s">
        <v>562</v>
      </c>
    </row>
    <row r="83" customFormat="false" ht="15" hidden="false" customHeight="false" outlineLevel="0" collapsed="false">
      <c r="A83" s="15" t="s">
        <v>563</v>
      </c>
      <c r="B83" s="15"/>
      <c r="C83" s="15" t="s">
        <v>206</v>
      </c>
      <c r="D83" s="15" t="s">
        <v>564</v>
      </c>
      <c r="E83" s="16" t="s">
        <v>565</v>
      </c>
      <c r="F83" s="15" t="s">
        <v>91</v>
      </c>
      <c r="G83" s="15" t="s">
        <v>566</v>
      </c>
      <c r="H83" s="15" t="s">
        <v>223</v>
      </c>
      <c r="I83" s="15" t="n">
        <v>1973</v>
      </c>
      <c r="J83" s="15" t="n">
        <v>2008</v>
      </c>
      <c r="K83" s="15" t="s">
        <v>386</v>
      </c>
      <c r="L83" s="15" t="s">
        <v>55</v>
      </c>
      <c r="M83" s="15" t="s">
        <v>190</v>
      </c>
      <c r="N83" s="15" t="s">
        <v>465</v>
      </c>
      <c r="O83" s="15"/>
      <c r="P83" s="15"/>
    </row>
    <row r="84" customFormat="false" ht="23.85" hidden="false" customHeight="false" outlineLevel="0" collapsed="false">
      <c r="A84" s="15" t="s">
        <v>567</v>
      </c>
      <c r="B84" s="15"/>
      <c r="C84" s="15" t="s">
        <v>206</v>
      </c>
      <c r="D84" s="15" t="s">
        <v>568</v>
      </c>
      <c r="E84" s="16" t="s">
        <v>569</v>
      </c>
      <c r="F84" s="15" t="s">
        <v>91</v>
      </c>
      <c r="G84" s="15"/>
      <c r="H84" s="15" t="s">
        <v>570</v>
      </c>
      <c r="I84" s="15" t="n">
        <v>1959</v>
      </c>
      <c r="J84" s="15" t="n">
        <v>2011</v>
      </c>
      <c r="K84" s="15" t="s">
        <v>571</v>
      </c>
      <c r="L84" s="15" t="s">
        <v>55</v>
      </c>
      <c r="M84" s="15" t="s">
        <v>190</v>
      </c>
      <c r="N84" s="15" t="s">
        <v>572</v>
      </c>
      <c r="O84" s="15"/>
      <c r="P84" s="15" t="s">
        <v>573</v>
      </c>
    </row>
    <row r="85" customFormat="false" ht="23.85" hidden="false" customHeight="false" outlineLevel="0" collapsed="false">
      <c r="A85" s="15" t="s">
        <v>574</v>
      </c>
      <c r="B85" s="15"/>
      <c r="C85" s="15" t="s">
        <v>206</v>
      </c>
      <c r="D85" s="15" t="s">
        <v>575</v>
      </c>
      <c r="E85" s="16" t="s">
        <v>576</v>
      </c>
      <c r="F85" s="15" t="s">
        <v>91</v>
      </c>
      <c r="G85" s="15"/>
      <c r="H85" s="15" t="s">
        <v>577</v>
      </c>
      <c r="I85" s="15" t="n">
        <v>1975</v>
      </c>
      <c r="J85" s="15" t="n">
        <v>2007</v>
      </c>
      <c r="K85" s="15" t="s">
        <v>571</v>
      </c>
      <c r="L85" s="15" t="s">
        <v>55</v>
      </c>
      <c r="M85" s="15" t="s">
        <v>190</v>
      </c>
      <c r="N85" s="15" t="s">
        <v>572</v>
      </c>
      <c r="O85" s="15"/>
      <c r="P85" s="15" t="s">
        <v>578</v>
      </c>
    </row>
    <row r="86" customFormat="false" ht="23.85" hidden="false" customHeight="false" outlineLevel="0" collapsed="false">
      <c r="A86" s="15" t="s">
        <v>579</v>
      </c>
      <c r="B86" s="15"/>
      <c r="C86" s="15" t="s">
        <v>206</v>
      </c>
      <c r="D86" s="15" t="s">
        <v>580</v>
      </c>
      <c r="E86" s="15" t="s">
        <v>581</v>
      </c>
      <c r="F86" s="15" t="s">
        <v>137</v>
      </c>
      <c r="G86" s="15" t="s">
        <v>582</v>
      </c>
      <c r="H86" s="15" t="s">
        <v>113</v>
      </c>
      <c r="I86" s="15" t="n">
        <v>2000</v>
      </c>
      <c r="J86" s="15" t="n">
        <v>2014</v>
      </c>
      <c r="K86" s="15" t="s">
        <v>583</v>
      </c>
      <c r="L86" s="15" t="s">
        <v>584</v>
      </c>
      <c r="M86" s="15" t="s">
        <v>211</v>
      </c>
      <c r="N86" s="15" t="s">
        <v>465</v>
      </c>
      <c r="O86" s="17" t="s">
        <v>585</v>
      </c>
      <c r="P86" s="15" t="s">
        <v>586</v>
      </c>
    </row>
    <row r="87" customFormat="false" ht="23.85" hidden="false" customHeight="false" outlineLevel="0" collapsed="false">
      <c r="A87" s="15" t="s">
        <v>587</v>
      </c>
      <c r="B87" s="15"/>
      <c r="C87" s="15" t="s">
        <v>206</v>
      </c>
      <c r="D87" s="15" t="s">
        <v>588</v>
      </c>
      <c r="E87" s="15" t="s">
        <v>589</v>
      </c>
      <c r="F87" s="15" t="s">
        <v>137</v>
      </c>
      <c r="G87" s="15" t="s">
        <v>138</v>
      </c>
      <c r="H87" s="15" t="s">
        <v>40</v>
      </c>
      <c r="I87" s="15"/>
      <c r="J87" s="15"/>
      <c r="K87" s="15" t="s">
        <v>590</v>
      </c>
      <c r="L87" s="15"/>
      <c r="M87" s="15" t="s">
        <v>182</v>
      </c>
      <c r="N87" s="15" t="s">
        <v>465</v>
      </c>
      <c r="O87" s="15"/>
      <c r="P87" s="15" t="s">
        <v>591</v>
      </c>
    </row>
    <row r="88" customFormat="false" ht="23.85" hidden="false" customHeight="false" outlineLevel="0" collapsed="false">
      <c r="A88" s="15" t="s">
        <v>592</v>
      </c>
      <c r="B88" s="15"/>
      <c r="C88" s="15" t="s">
        <v>206</v>
      </c>
      <c r="D88" s="15" t="s">
        <v>593</v>
      </c>
      <c r="E88" s="15" t="s">
        <v>594</v>
      </c>
      <c r="F88" s="15" t="s">
        <v>111</v>
      </c>
      <c r="G88" s="15"/>
      <c r="H88" s="15" t="s">
        <v>113</v>
      </c>
      <c r="I88" s="15" t="n">
        <v>1976</v>
      </c>
      <c r="J88" s="15" t="n">
        <v>2002</v>
      </c>
      <c r="K88" s="15" t="s">
        <v>595</v>
      </c>
      <c r="L88" s="15" t="s">
        <v>55</v>
      </c>
      <c r="M88" s="15" t="s">
        <v>211</v>
      </c>
      <c r="N88" s="15" t="s">
        <v>465</v>
      </c>
      <c r="O88" s="17" t="s">
        <v>596</v>
      </c>
      <c r="P88" s="15"/>
    </row>
    <row r="89" customFormat="false" ht="23.85" hidden="false" customHeight="false" outlineLevel="0" collapsed="false">
      <c r="A89" s="15" t="s">
        <v>597</v>
      </c>
      <c r="B89" s="15"/>
      <c r="C89" s="15" t="s">
        <v>206</v>
      </c>
      <c r="D89" s="15" t="s">
        <v>598</v>
      </c>
      <c r="E89" s="15"/>
      <c r="F89" s="15" t="s">
        <v>129</v>
      </c>
      <c r="G89" s="15"/>
      <c r="H89" s="15" t="s">
        <v>599</v>
      </c>
      <c r="I89" s="15"/>
      <c r="J89" s="15" t="n">
        <v>2020</v>
      </c>
      <c r="K89" s="15" t="s">
        <v>600</v>
      </c>
      <c r="L89" s="15" t="s">
        <v>601</v>
      </c>
      <c r="M89" s="15" t="s">
        <v>190</v>
      </c>
      <c r="N89" s="15" t="s">
        <v>602</v>
      </c>
      <c r="O89" s="15"/>
      <c r="P89" s="15" t="s">
        <v>603</v>
      </c>
    </row>
  </sheetData>
  <autoFilter ref="A1:P89"/>
  <dataValidations count="2">
    <dataValidation allowBlank="false" errorStyle="stop" operator="between" showDropDown="false" showErrorMessage="false" showInputMessage="false" sqref="C2:C289" type="list">
      <formula1>"Verified record,Provisional record,Pending,Excluded (worked example),Set aside in pilot,Candidate - not screened,Candidate - screened in,Candidate - screened out"</formula1>
      <formula2>0</formula2>
    </dataValidation>
    <dataValidation allowBlank="true" errorStyle="stop" operator="between" showDropDown="false" showErrorMessage="false" showInputMessage="false" sqref="M2:M289" type="list">
      <formula1>"Pass,Likely,Doubtful,Fail,To check,Pass (date to confirm),Likely (date to confirm)"</formula1>
      <formula2>0</formula2>
    </dataValidation>
  </dataValidations>
  <hyperlinks>
    <hyperlink ref="O2" r:id="rId1" display="https://usali.org/wc-case-archive/nie-shubin-case"/>
    <hyperlink ref="O3" r:id="rId2" display="https://www.courts.go.jp/hanrei/93622/detail4/index.html"/>
    <hyperlink ref="O4" r:id="rId3" display="https://www.courts.go.jp/hanrei/80213/detail4/index.html"/>
    <hyperlink ref="O5" r:id="rId4" display="https://cybsbox.cy.gov.tw/CYBSBoxSSL/edoc/download/50046"/>
    <hyperlink ref="O6" r:id="rId5" display="https://usali.org/wc-case-archive/zhang-yuhuan-murder-case"/>
    <hyperlink ref="O7" r:id="rId6" display="https://www.lawtimes.co.kr/news/articleView.html?idxno=166641"/>
    <hyperlink ref="O8" r:id="rId7" display="https://indiankanoon.org/doc/54814974/"/>
    <hyperlink ref="O9" r:id="rId8" display="https://www.gov.il/BlobFolder/dynamiccollectorresultitem/decision502-07/he/502-07.pdf"/>
    <hyperlink ref="O10" r:id="rId9" display="https://www.dawn.com/news/1819573"/>
    <hyperlink ref="O11" r:id="rId10" display="https://www.elitigation.sg/gd/s/2020_SGCA_90"/>
    <hyperlink ref="O12" r:id="rId11" display="https://baochinhphu.vn/tam-dinh-chi-thi-hanh-an-tu-chung-than-1-pham-nhan-102152351.htm"/>
    <hyperlink ref="O13" r:id="rId12" display="https://www.thejakartapost.com/news/2008/09/02/editorial-defending-wrong-judgment.html"/>
    <hyperlink ref="O14" r:id="rId13" display="https://www.doj.gov.hk/en/notable_judgments/pdf/HCAL_176_2018e.pdf"/>
    <hyperlink ref="O22" r:id="rId14" display="https://usali.org/wc-case-archive/she-xianglin-case"/>
    <hyperlink ref="O23" r:id="rId15" display="https://usali.org/wc-case-archive/zhao-zuohai-case"/>
    <hyperlink ref="O24" r:id="rId16" display="https://usali.org/wc-case-archive/huge-jiletu-case"/>
    <hyperlink ref="O25" r:id="rId17" display="https://usali.org/wc-case-archive/zhang-hui-zhang-gaoping-case"/>
    <hyperlink ref="O26" r:id="rId18" display="https://usali.org/wc-case-archive/tian-weidong-case"/>
    <hyperlink ref="O27" r:id="rId19" display="https://usali.org/wc-case-archive/du-peiwu-case"/>
    <hyperlink ref="O28" r:id="rId20" display="https://usali.org/wc-case-archive/bai-chun-rong-case"/>
    <hyperlink ref="O29" r:id="rId21" display="https://usali.org/wc-case-archive/shen-liujin-murder-case"/>
    <hyperlink ref="O30" r:id="rId22" display="https://usali.org/wc-case-archive/guo-li-racketeering-case"/>
    <hyperlink ref="O31" r:id="rId23" display="https://usali.org/wc-case-archive/zeng-fannian-extortion-case"/>
    <hyperlink ref="O32" r:id="rId24" display="https://usali.org/wc-case-archive/zeng-aiyun-murder-case"/>
    <hyperlink ref="O33" r:id="rId25" display="https://usali.org/wc-case-archive/qian-renfeng-poison-case"/>
    <hyperlink ref="O34" r:id="rId26" display="https://usali.org/wc-case-archive/fang-junjin-case"/>
    <hyperlink ref="O35" r:id="rId27" display="https://usali.org/wc-case-archive/tan-xiuyi-rape-and-murder-case"/>
    <hyperlink ref="O36" r:id="rId28" display="https://usali.org/wc-case-archive/lu-rongxin-rape-and-murder-case"/>
    <hyperlink ref="O37" r:id="rId29" display="https://usali.org/wc-case-archive/wang-benyu-case"/>
    <hyperlink ref="O38" r:id="rId30" display="https://usali.org/wc-case-archive/new-zhang-guangxiang-robbery-case-"/>
    <hyperlink ref="O39" r:id="rId31" display="https://usali.org/wc-case-archive/yang-botao-case"/>
    <hyperlink ref="O40" r:id="rId32" display="https://usali.org/wc-case-archive/wu-chunhong-murder-case"/>
    <hyperlink ref="O41" r:id="rId33" display="https://usali.org/wc-case-archive/li-huailiang-case"/>
    <hyperlink ref="O42" r:id="rId34" display="https://usali.org/wc-case-archive/sun-wangang-case"/>
    <hyperlink ref="O43" r:id="rId35" display="https://usali.org/wc-case-archive/yang-dewu-murder-case"/>
    <hyperlink ref="O44" r:id="rId36" display="https://usali.org/wc-case-archive/zheng-yonglin-case"/>
    <hyperlink ref="O45" r:id="rId37" display="https://usali.org/wc-case-archive/yu-yingsheng-case"/>
    <hyperlink ref="O46" r:id="rId38" display="https://usali.org/new-and-notable/new-additions-to-wrongful-convictions-case-archive"/>
    <hyperlink ref="O47" r:id="rId39" display="https://usali.org/new-and-notable/new-additions-to-wrongful-convictions-case-archive"/>
    <hyperlink ref="O48" r:id="rId40" display="https://usali.org/wc-case-archive"/>
    <hyperlink ref="O49" r:id="rId41" display="https://usali.org/wc-case-archive"/>
    <hyperlink ref="O50" r:id="rId42" display="https://usali.org/wc-case-archive"/>
    <hyperlink ref="O51" r:id="rId43" display="https://usali.org/wc-case-archive"/>
    <hyperlink ref="O67" r:id="rId44" display="https://english.adnkronos.com/2026/04/28/man-acquitted-over-1986-murder-seeks-state-compensation/"/>
    <hyperlink ref="O70" r:id="rId45" display="https://www.taipeitimes.com/News/front/archives/2012/09/01/2003541675"/>
    <hyperlink ref="O71" r:id="rId46" display="https://talkingtaiwan.com/?p=6809"/>
    <hyperlink ref="O72" r:id="rId47" display="https://talkingtaiwan.com/?p=6809"/>
    <hyperlink ref="O73" r:id="rId48" display="https://talkingtaiwan.com/?p=6809"/>
    <hyperlink ref="O75" r:id="rId49" display="https://www.mirrormedia.mg/story/20211118web003"/>
    <hyperlink ref="O77" r:id="rId50" display="https://news.pts.org.tw/article/597576"/>
    <hyperlink ref="O78" r:id="rId51" display="https://doi.org/10.1016/j.fsigen.2017.08.004"/>
    <hyperlink ref="O79" r:id="rId52" display="https://www.koreajoongangdaily.com/korea/daughter-serving-life-sentence-for-fathers-murder-acquitted-after-24-years/12127561"/>
    <hyperlink ref="O80" r:id="rId53" display="https://www.koreajoongangdaily.com/korea/busan-court-exonerates-men-imprisoned-21-years-for-murder/10944681"/>
    <hyperlink ref="O81" r:id="rId54" display="https://mobile.newsis.com/view/NISX20191011_0000796489"/>
    <hyperlink ref="O82" r:id="rId55" display="https://mobile.newsis.com/view/NISX20191011_0000796489"/>
    <hyperlink ref="O86" r:id="rId56" display="https://dtinews.dantri.com.vn/vietnam-today/innocent-man-gets-vnd10bn-compensation-payout-20170425110718760.htm"/>
    <hyperlink ref="O88" r:id="rId57" display="https://www.jpost.com/israel/state-compensates-convicted-killer/article-183757"/>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8"/>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8" min="2" style="0" width="15"/>
  </cols>
  <sheetData>
    <row r="1" customFormat="false" ht="39.55" hidden="false" customHeight="false" outlineLevel="0" collapsed="false">
      <c r="A1" s="18" t="s">
        <v>22</v>
      </c>
      <c r="B1" s="18" t="s">
        <v>35</v>
      </c>
      <c r="C1" s="18" t="s">
        <v>48</v>
      </c>
      <c r="D1" s="18" t="s">
        <v>143</v>
      </c>
      <c r="E1" s="18" t="s">
        <v>154</v>
      </c>
      <c r="F1" s="18" t="s">
        <v>163</v>
      </c>
      <c r="G1" s="18" t="s">
        <v>206</v>
      </c>
      <c r="H1" s="18" t="s">
        <v>604</v>
      </c>
    </row>
    <row r="2" customFormat="false" ht="15" hidden="false" customHeight="false" outlineLevel="0" collapsed="false">
      <c r="A2" s="2" t="s">
        <v>186</v>
      </c>
      <c r="B2" s="2" t="n">
        <f aca="false">COUNTIFS(Cases!$F:$F,$A2,Cases!$C:$C,B$1)</f>
        <v>0</v>
      </c>
      <c r="C2" s="2" t="n">
        <f aca="false">COUNTIFS(Cases!$F:$F,$A2,Cases!$C:$C,C$1)</f>
        <v>0</v>
      </c>
      <c r="D2" s="2" t="n">
        <f aca="false">COUNTIFS(Cases!$F:$F,$A2,Cases!$C:$C,D$1)</f>
        <v>0</v>
      </c>
      <c r="E2" s="2" t="n">
        <f aca="false">COUNTIFS(Cases!$F:$F,$A2,Cases!$C:$C,E$1)</f>
        <v>0</v>
      </c>
      <c r="F2" s="2" t="n">
        <f aca="false">COUNTIFS(Cases!$F:$F,$A2,Cases!$C:$C,F$1)</f>
        <v>1</v>
      </c>
      <c r="G2" s="2" t="n">
        <f aca="false">COUNTIFS(Cases!$F:$F,$A2,Cases!$C:$C,G$1)</f>
        <v>0</v>
      </c>
      <c r="H2" s="2" t="n">
        <f aca="false">SUM(B2:G2)</f>
        <v>1</v>
      </c>
    </row>
    <row r="3" customFormat="false" ht="15" hidden="false" customHeight="false" outlineLevel="0" collapsed="false">
      <c r="A3" s="2" t="s">
        <v>180</v>
      </c>
      <c r="B3" s="2" t="n">
        <f aca="false">COUNTIFS(Cases!$F:$F,$A3,Cases!$C:$C,B$1)</f>
        <v>0</v>
      </c>
      <c r="C3" s="2" t="n">
        <f aca="false">COUNTIFS(Cases!$F:$F,$A3,Cases!$C:$C,C$1)</f>
        <v>0</v>
      </c>
      <c r="D3" s="2" t="n">
        <f aca="false">COUNTIFS(Cases!$F:$F,$A3,Cases!$C:$C,D$1)</f>
        <v>0</v>
      </c>
      <c r="E3" s="2" t="n">
        <f aca="false">COUNTIFS(Cases!$F:$F,$A3,Cases!$C:$C,E$1)</f>
        <v>0</v>
      </c>
      <c r="F3" s="2" t="n">
        <f aca="false">COUNTIFS(Cases!$F:$F,$A3,Cases!$C:$C,F$1)</f>
        <v>1</v>
      </c>
      <c r="G3" s="2" t="n">
        <f aca="false">COUNTIFS(Cases!$F:$F,$A3,Cases!$C:$C,G$1)</f>
        <v>0</v>
      </c>
      <c r="H3" s="2" t="n">
        <f aca="false">SUM(B3:G3)</f>
        <v>1</v>
      </c>
    </row>
    <row r="4" customFormat="false" ht="15" hidden="false" customHeight="false" outlineLevel="0" collapsed="false">
      <c r="A4" s="2" t="s">
        <v>38</v>
      </c>
      <c r="B4" s="2" t="n">
        <f aca="false">COUNTIFS(Cases!$F:$F,$A4,Cases!$C:$C,B$1)</f>
        <v>1</v>
      </c>
      <c r="C4" s="2" t="n">
        <f aca="false">COUNTIFS(Cases!$F:$F,$A4,Cases!$C:$C,C$1)</f>
        <v>1</v>
      </c>
      <c r="D4" s="2" t="n">
        <f aca="false">COUNTIFS(Cases!$F:$F,$A4,Cases!$C:$C,D$1)</f>
        <v>0</v>
      </c>
      <c r="E4" s="2" t="n">
        <f aca="false">COUNTIFS(Cases!$F:$F,$A4,Cases!$C:$C,E$1)</f>
        <v>0</v>
      </c>
      <c r="F4" s="2" t="n">
        <f aca="false">COUNTIFS(Cases!$F:$F,$A4,Cases!$C:$C,F$1)</f>
        <v>0</v>
      </c>
      <c r="G4" s="2" t="n">
        <f aca="false">COUNTIFS(Cases!$F:$F,$A4,Cases!$C:$C,G$1)</f>
        <v>35</v>
      </c>
      <c r="H4" s="2" t="n">
        <f aca="false">SUM(B4:G4)</f>
        <v>37</v>
      </c>
    </row>
    <row r="5" customFormat="false" ht="15" hidden="false" customHeight="false" outlineLevel="0" collapsed="false">
      <c r="A5" s="2" t="s">
        <v>156</v>
      </c>
      <c r="B5" s="2" t="n">
        <f aca="false">COUNTIFS(Cases!$F:$F,$A5,Cases!$C:$C,B$1)</f>
        <v>0</v>
      </c>
      <c r="C5" s="2" t="n">
        <f aca="false">COUNTIFS(Cases!$F:$F,$A5,Cases!$C:$C,C$1)</f>
        <v>0</v>
      </c>
      <c r="D5" s="2" t="n">
        <f aca="false">COUNTIFS(Cases!$F:$F,$A5,Cases!$C:$C,D$1)</f>
        <v>0</v>
      </c>
      <c r="E5" s="2" t="n">
        <f aca="false">COUNTIFS(Cases!$F:$F,$A5,Cases!$C:$C,E$1)</f>
        <v>1</v>
      </c>
      <c r="F5" s="2" t="n">
        <f aca="false">COUNTIFS(Cases!$F:$F,$A5,Cases!$C:$C,F$1)</f>
        <v>0</v>
      </c>
      <c r="G5" s="2" t="n">
        <f aca="false">COUNTIFS(Cases!$F:$F,$A5,Cases!$C:$C,G$1)</f>
        <v>0</v>
      </c>
      <c r="H5" s="2" t="n">
        <f aca="false">SUM(B5:G5)</f>
        <v>1</v>
      </c>
    </row>
    <row r="6" customFormat="false" ht="15" hidden="false" customHeight="false" outlineLevel="0" collapsed="false">
      <c r="A6" s="2" t="s">
        <v>101</v>
      </c>
      <c r="B6" s="2" t="n">
        <f aca="false">COUNTIFS(Cases!$F:$F,$A6,Cases!$C:$C,B$1)</f>
        <v>0</v>
      </c>
      <c r="C6" s="2" t="n">
        <f aca="false">COUNTIFS(Cases!$F:$F,$A6,Cases!$C:$C,C$1)</f>
        <v>1</v>
      </c>
      <c r="D6" s="2" t="n">
        <f aca="false">COUNTIFS(Cases!$F:$F,$A6,Cases!$C:$C,D$1)</f>
        <v>0</v>
      </c>
      <c r="E6" s="2" t="n">
        <f aca="false">COUNTIFS(Cases!$F:$F,$A6,Cases!$C:$C,E$1)</f>
        <v>0</v>
      </c>
      <c r="F6" s="2" t="n">
        <f aca="false">COUNTIFS(Cases!$F:$F,$A6,Cases!$C:$C,F$1)</f>
        <v>0</v>
      </c>
      <c r="G6" s="2" t="n">
        <f aca="false">COUNTIFS(Cases!$F:$F,$A6,Cases!$C:$C,G$1)</f>
        <v>0</v>
      </c>
      <c r="H6" s="2" t="n">
        <f aca="false">SUM(B6:G6)</f>
        <v>1</v>
      </c>
    </row>
    <row r="7" customFormat="false" ht="15" hidden="false" customHeight="false" outlineLevel="0" collapsed="false">
      <c r="A7" s="2" t="s">
        <v>145</v>
      </c>
      <c r="B7" s="2" t="n">
        <f aca="false">COUNTIFS(Cases!$F:$F,$A7,Cases!$C:$C,B$1)</f>
        <v>0</v>
      </c>
      <c r="C7" s="2" t="n">
        <f aca="false">COUNTIFS(Cases!$F:$F,$A7,Cases!$C:$C,C$1)</f>
        <v>0</v>
      </c>
      <c r="D7" s="2" t="n">
        <f aca="false">COUNTIFS(Cases!$F:$F,$A7,Cases!$C:$C,D$1)</f>
        <v>1</v>
      </c>
      <c r="E7" s="2" t="n">
        <f aca="false">COUNTIFS(Cases!$F:$F,$A7,Cases!$C:$C,E$1)</f>
        <v>0</v>
      </c>
      <c r="F7" s="2" t="n">
        <f aca="false">COUNTIFS(Cases!$F:$F,$A7,Cases!$C:$C,F$1)</f>
        <v>0</v>
      </c>
      <c r="G7" s="2" t="n">
        <f aca="false">COUNTIFS(Cases!$F:$F,$A7,Cases!$C:$C,G$1)</f>
        <v>0</v>
      </c>
      <c r="H7" s="2" t="n">
        <f aca="false">SUM(B7:G7)</f>
        <v>1</v>
      </c>
    </row>
    <row r="8" customFormat="false" ht="15" hidden="false" customHeight="false" outlineLevel="0" collapsed="false">
      <c r="A8" s="2" t="s">
        <v>111</v>
      </c>
      <c r="B8" s="2" t="n">
        <f aca="false">COUNTIFS(Cases!$F:$F,$A8,Cases!$C:$C,B$1)</f>
        <v>0</v>
      </c>
      <c r="C8" s="2" t="n">
        <f aca="false">COUNTIFS(Cases!$F:$F,$A8,Cases!$C:$C,C$1)</f>
        <v>1</v>
      </c>
      <c r="D8" s="2" t="n">
        <f aca="false">COUNTIFS(Cases!$F:$F,$A8,Cases!$C:$C,D$1)</f>
        <v>0</v>
      </c>
      <c r="E8" s="2" t="n">
        <f aca="false">COUNTIFS(Cases!$F:$F,$A8,Cases!$C:$C,E$1)</f>
        <v>0</v>
      </c>
      <c r="F8" s="2" t="n">
        <f aca="false">COUNTIFS(Cases!$F:$F,$A8,Cases!$C:$C,F$1)</f>
        <v>0</v>
      </c>
      <c r="G8" s="2" t="n">
        <f aca="false">COUNTIFS(Cases!$F:$F,$A8,Cases!$C:$C,G$1)</f>
        <v>1</v>
      </c>
      <c r="H8" s="2" t="n">
        <f aca="false">SUM(B8:G8)</f>
        <v>2</v>
      </c>
    </row>
    <row r="9" customFormat="false" ht="15" hidden="false" customHeight="false" outlineLevel="0" collapsed="false">
      <c r="A9" s="2" t="s">
        <v>51</v>
      </c>
      <c r="B9" s="2" t="n">
        <f aca="false">COUNTIFS(Cases!$F:$F,$A9,Cases!$C:$C,B$1)</f>
        <v>0</v>
      </c>
      <c r="C9" s="2" t="n">
        <f aca="false">COUNTIFS(Cases!$F:$F,$A9,Cases!$C:$C,C$1)</f>
        <v>2</v>
      </c>
      <c r="D9" s="2" t="n">
        <f aca="false">COUNTIFS(Cases!$F:$F,$A9,Cases!$C:$C,D$1)</f>
        <v>0</v>
      </c>
      <c r="E9" s="2" t="n">
        <f aca="false">COUNTIFS(Cases!$F:$F,$A9,Cases!$C:$C,E$1)</f>
        <v>0</v>
      </c>
      <c r="F9" s="2" t="n">
        <f aca="false">COUNTIFS(Cases!$F:$F,$A9,Cases!$C:$C,F$1)</f>
        <v>0</v>
      </c>
      <c r="G9" s="2" t="n">
        <f aca="false">COUNTIFS(Cases!$F:$F,$A9,Cases!$C:$C,G$1)</f>
        <v>13</v>
      </c>
      <c r="H9" s="2" t="n">
        <f aca="false">SUM(B9:G9)</f>
        <v>15</v>
      </c>
    </row>
    <row r="10" customFormat="false" ht="15" hidden="false" customHeight="false" outlineLevel="0" collapsed="false">
      <c r="A10" s="2" t="s">
        <v>91</v>
      </c>
      <c r="B10" s="2" t="n">
        <f aca="false">COUNTIFS(Cases!$F:$F,$A10,Cases!$C:$C,B$1)</f>
        <v>0</v>
      </c>
      <c r="C10" s="2" t="n">
        <f aca="false">COUNTIFS(Cases!$F:$F,$A10,Cases!$C:$C,C$1)</f>
        <v>1</v>
      </c>
      <c r="D10" s="2" t="n">
        <f aca="false">COUNTIFS(Cases!$F:$F,$A10,Cases!$C:$C,D$1)</f>
        <v>0</v>
      </c>
      <c r="E10" s="2" t="n">
        <f aca="false">COUNTIFS(Cases!$F:$F,$A10,Cases!$C:$C,E$1)</f>
        <v>0</v>
      </c>
      <c r="F10" s="2" t="n">
        <f aca="false">COUNTIFS(Cases!$F:$F,$A10,Cases!$C:$C,F$1)</f>
        <v>0</v>
      </c>
      <c r="G10" s="2" t="n">
        <f aca="false">COUNTIFS(Cases!$F:$F,$A10,Cases!$C:$C,G$1)</f>
        <v>7</v>
      </c>
      <c r="H10" s="2" t="n">
        <f aca="false">SUM(B10:G10)</f>
        <v>8</v>
      </c>
    </row>
    <row r="11" customFormat="false" ht="15" hidden="false" customHeight="false" outlineLevel="0" collapsed="false">
      <c r="A11" s="2" t="s">
        <v>200</v>
      </c>
      <c r="B11" s="2" t="n">
        <f aca="false">COUNTIFS(Cases!$F:$F,$A11,Cases!$C:$C,B$1)</f>
        <v>0</v>
      </c>
      <c r="C11" s="2" t="n">
        <f aca="false">COUNTIFS(Cases!$F:$F,$A11,Cases!$C:$C,C$1)</f>
        <v>0</v>
      </c>
      <c r="D11" s="2" t="n">
        <f aca="false">COUNTIFS(Cases!$F:$F,$A11,Cases!$C:$C,D$1)</f>
        <v>0</v>
      </c>
      <c r="E11" s="2" t="n">
        <f aca="false">COUNTIFS(Cases!$F:$F,$A11,Cases!$C:$C,E$1)</f>
        <v>0</v>
      </c>
      <c r="F11" s="2" t="n">
        <f aca="false">COUNTIFS(Cases!$F:$F,$A11,Cases!$C:$C,F$1)</f>
        <v>1</v>
      </c>
      <c r="G11" s="2" t="n">
        <f aca="false">COUNTIFS(Cases!$F:$F,$A11,Cases!$C:$C,G$1)</f>
        <v>0</v>
      </c>
      <c r="H11" s="2" t="n">
        <f aca="false">SUM(B11:G11)</f>
        <v>1</v>
      </c>
    </row>
    <row r="12" customFormat="false" ht="15" hidden="false" customHeight="false" outlineLevel="0" collapsed="false">
      <c r="A12" s="2" t="s">
        <v>175</v>
      </c>
      <c r="B12" s="2" t="n">
        <f aca="false">COUNTIFS(Cases!$F:$F,$A12,Cases!$C:$C,B$1)</f>
        <v>0</v>
      </c>
      <c r="C12" s="2" t="n">
        <f aca="false">COUNTIFS(Cases!$F:$F,$A12,Cases!$C:$C,C$1)</f>
        <v>0</v>
      </c>
      <c r="D12" s="2" t="n">
        <f aca="false">COUNTIFS(Cases!$F:$F,$A12,Cases!$C:$C,D$1)</f>
        <v>0</v>
      </c>
      <c r="E12" s="2" t="n">
        <f aca="false">COUNTIFS(Cases!$F:$F,$A12,Cases!$C:$C,E$1)</f>
        <v>0</v>
      </c>
      <c r="F12" s="2" t="n">
        <f aca="false">COUNTIFS(Cases!$F:$F,$A12,Cases!$C:$C,F$1)</f>
        <v>1</v>
      </c>
      <c r="G12" s="2" t="n">
        <f aca="false">COUNTIFS(Cases!$F:$F,$A12,Cases!$C:$C,G$1)</f>
        <v>0</v>
      </c>
      <c r="H12" s="2" t="n">
        <f aca="false">SUM(B12:G12)</f>
        <v>1</v>
      </c>
    </row>
    <row r="13" customFormat="false" ht="15" hidden="false" customHeight="false" outlineLevel="0" collapsed="false">
      <c r="A13" s="2" t="s">
        <v>119</v>
      </c>
      <c r="B13" s="2" t="n">
        <f aca="false">COUNTIFS(Cases!$F:$F,$A13,Cases!$C:$C,B$1)</f>
        <v>0</v>
      </c>
      <c r="C13" s="2" t="n">
        <f aca="false">COUNTIFS(Cases!$F:$F,$A13,Cases!$C:$C,C$1)</f>
        <v>1</v>
      </c>
      <c r="D13" s="2" t="n">
        <f aca="false">COUNTIFS(Cases!$F:$F,$A13,Cases!$C:$C,D$1)</f>
        <v>0</v>
      </c>
      <c r="E13" s="2" t="n">
        <f aca="false">COUNTIFS(Cases!$F:$F,$A13,Cases!$C:$C,E$1)</f>
        <v>0</v>
      </c>
      <c r="F13" s="2" t="n">
        <f aca="false">COUNTIFS(Cases!$F:$F,$A13,Cases!$C:$C,F$1)</f>
        <v>1</v>
      </c>
      <c r="G13" s="2" t="n">
        <f aca="false">COUNTIFS(Cases!$F:$F,$A13,Cases!$C:$C,G$1)</f>
        <v>0</v>
      </c>
      <c r="H13" s="2" t="n">
        <f aca="false">SUM(B13:G13)</f>
        <v>2</v>
      </c>
    </row>
    <row r="14" customFormat="false" ht="15" hidden="false" customHeight="false" outlineLevel="0" collapsed="false">
      <c r="A14" s="2" t="s">
        <v>165</v>
      </c>
      <c r="B14" s="2" t="n">
        <f aca="false">COUNTIFS(Cases!$F:$F,$A14,Cases!$C:$C,B$1)</f>
        <v>0</v>
      </c>
      <c r="C14" s="2" t="n">
        <f aca="false">COUNTIFS(Cases!$F:$F,$A14,Cases!$C:$C,C$1)</f>
        <v>0</v>
      </c>
      <c r="D14" s="2" t="n">
        <f aca="false">COUNTIFS(Cases!$F:$F,$A14,Cases!$C:$C,D$1)</f>
        <v>0</v>
      </c>
      <c r="E14" s="2" t="n">
        <f aca="false">COUNTIFS(Cases!$F:$F,$A14,Cases!$C:$C,E$1)</f>
        <v>0</v>
      </c>
      <c r="F14" s="2" t="n">
        <f aca="false">COUNTIFS(Cases!$F:$F,$A14,Cases!$C:$C,F$1)</f>
        <v>1</v>
      </c>
      <c r="G14" s="2" t="n">
        <f aca="false">COUNTIFS(Cases!$F:$F,$A14,Cases!$C:$C,G$1)</f>
        <v>0</v>
      </c>
      <c r="H14" s="2" t="n">
        <f aca="false">SUM(B14:G14)</f>
        <v>1</v>
      </c>
    </row>
    <row r="15" customFormat="false" ht="15" hidden="false" customHeight="false" outlineLevel="0" collapsed="false">
      <c r="A15" s="2" t="s">
        <v>129</v>
      </c>
      <c r="B15" s="2" t="n">
        <f aca="false">COUNTIFS(Cases!$F:$F,$A15,Cases!$C:$C,B$1)</f>
        <v>0</v>
      </c>
      <c r="C15" s="2" t="n">
        <f aca="false">COUNTIFS(Cases!$F:$F,$A15,Cases!$C:$C,C$1)</f>
        <v>1</v>
      </c>
      <c r="D15" s="2" t="n">
        <f aca="false">COUNTIFS(Cases!$F:$F,$A15,Cases!$C:$C,D$1)</f>
        <v>0</v>
      </c>
      <c r="E15" s="2" t="n">
        <f aca="false">COUNTIFS(Cases!$F:$F,$A15,Cases!$C:$C,E$1)</f>
        <v>0</v>
      </c>
      <c r="F15" s="2" t="n">
        <f aca="false">COUNTIFS(Cases!$F:$F,$A15,Cases!$C:$C,F$1)</f>
        <v>0</v>
      </c>
      <c r="G15" s="2" t="n">
        <f aca="false">COUNTIFS(Cases!$F:$F,$A15,Cases!$C:$C,G$1)</f>
        <v>1</v>
      </c>
      <c r="H15" s="2" t="n">
        <f aca="false">SUM(B15:G15)</f>
        <v>2</v>
      </c>
    </row>
    <row r="16" customFormat="false" ht="15" hidden="false" customHeight="false" outlineLevel="0" collapsed="false">
      <c r="A16" s="2" t="s">
        <v>72</v>
      </c>
      <c r="B16" s="2" t="n">
        <f aca="false">COUNTIFS(Cases!$F:$F,$A16,Cases!$C:$C,B$1)</f>
        <v>0</v>
      </c>
      <c r="C16" s="2" t="n">
        <f aca="false">COUNTIFS(Cases!$F:$F,$A16,Cases!$C:$C,C$1)</f>
        <v>1</v>
      </c>
      <c r="D16" s="2" t="n">
        <f aca="false">COUNTIFS(Cases!$F:$F,$A16,Cases!$C:$C,D$1)</f>
        <v>0</v>
      </c>
      <c r="E16" s="2" t="n">
        <f aca="false">COUNTIFS(Cases!$F:$F,$A16,Cases!$C:$C,E$1)</f>
        <v>0</v>
      </c>
      <c r="F16" s="2" t="n">
        <f aca="false">COUNTIFS(Cases!$F:$F,$A16,Cases!$C:$C,F$1)</f>
        <v>0</v>
      </c>
      <c r="G16" s="2" t="n">
        <f aca="false">COUNTIFS(Cases!$F:$F,$A16,Cases!$C:$C,G$1)</f>
        <v>9</v>
      </c>
      <c r="H16" s="2" t="n">
        <f aca="false">SUM(B16:G16)</f>
        <v>10</v>
      </c>
    </row>
    <row r="17" customFormat="false" ht="15" hidden="false" customHeight="false" outlineLevel="0" collapsed="false">
      <c r="A17" s="2" t="s">
        <v>194</v>
      </c>
      <c r="B17" s="2" t="n">
        <f aca="false">COUNTIFS(Cases!$F:$F,$A17,Cases!$C:$C,B$1)</f>
        <v>0</v>
      </c>
      <c r="C17" s="2" t="n">
        <f aca="false">COUNTIFS(Cases!$F:$F,$A17,Cases!$C:$C,C$1)</f>
        <v>0</v>
      </c>
      <c r="D17" s="2" t="n">
        <f aca="false">COUNTIFS(Cases!$F:$F,$A17,Cases!$C:$C,D$1)</f>
        <v>0</v>
      </c>
      <c r="E17" s="2" t="n">
        <f aca="false">COUNTIFS(Cases!$F:$F,$A17,Cases!$C:$C,E$1)</f>
        <v>0</v>
      </c>
      <c r="F17" s="2" t="n">
        <f aca="false">COUNTIFS(Cases!$F:$F,$A17,Cases!$C:$C,F$1)</f>
        <v>1</v>
      </c>
      <c r="G17" s="2" t="n">
        <f aca="false">COUNTIFS(Cases!$F:$F,$A17,Cases!$C:$C,G$1)</f>
        <v>0</v>
      </c>
      <c r="H17" s="2" t="n">
        <f aca="false">SUM(B17:G17)</f>
        <v>1</v>
      </c>
    </row>
    <row r="18" customFormat="false" ht="15" hidden="false" customHeight="false" outlineLevel="0" collapsed="false">
      <c r="A18" s="2" t="s">
        <v>137</v>
      </c>
      <c r="B18" s="2" t="n">
        <f aca="false">COUNTIFS(Cases!$F:$F,$A18,Cases!$C:$C,B$1)</f>
        <v>0</v>
      </c>
      <c r="C18" s="2" t="n">
        <f aca="false">COUNTIFS(Cases!$F:$F,$A18,Cases!$C:$C,C$1)</f>
        <v>1</v>
      </c>
      <c r="D18" s="2" t="n">
        <f aca="false">COUNTIFS(Cases!$F:$F,$A18,Cases!$C:$C,D$1)</f>
        <v>0</v>
      </c>
      <c r="E18" s="2" t="n">
        <f aca="false">COUNTIFS(Cases!$F:$F,$A18,Cases!$C:$C,E$1)</f>
        <v>0</v>
      </c>
      <c r="F18" s="2" t="n">
        <f aca="false">COUNTIFS(Cases!$F:$F,$A18,Cases!$C:$C,F$1)</f>
        <v>0</v>
      </c>
      <c r="G18" s="2" t="n">
        <f aca="false">COUNTIFS(Cases!$F:$F,$A18,Cases!$C:$C,G$1)</f>
        <v>2</v>
      </c>
      <c r="H18" s="2" t="n">
        <f aca="false">SUM(B18:G18)</f>
        <v>3</v>
      </c>
    </row>
    <row r="19" customFormat="false" ht="15" hidden="false" customHeight="false" outlineLevel="0" collapsed="false">
      <c r="A19" s="3" t="s">
        <v>604</v>
      </c>
      <c r="B19" s="3" t="n">
        <f aca="false">SUM(B2:B18)</f>
        <v>1</v>
      </c>
      <c r="C19" s="3" t="n">
        <f aca="false">SUM(C2:C18)</f>
        <v>10</v>
      </c>
      <c r="D19" s="3" t="n">
        <f aca="false">SUM(D2:D18)</f>
        <v>1</v>
      </c>
      <c r="E19" s="3" t="n">
        <f aca="false">SUM(E2:E18)</f>
        <v>1</v>
      </c>
      <c r="F19" s="3" t="n">
        <f aca="false">SUM(F2:F18)</f>
        <v>7</v>
      </c>
      <c r="G19" s="3" t="n">
        <f aca="false">SUM(G2:G18)</f>
        <v>68</v>
      </c>
      <c r="H19" s="3" t="n">
        <f aca="false">SUM(H2:H18)</f>
        <v>88</v>
      </c>
    </row>
    <row r="20" customFormat="false" ht="15" hidden="false" customHeight="false" outlineLevel="0" collapsed="false">
      <c r="A20" s="2"/>
      <c r="B20" s="2"/>
      <c r="C20" s="2"/>
      <c r="D20" s="2"/>
      <c r="E20" s="2"/>
      <c r="F20" s="2"/>
      <c r="G20" s="2"/>
      <c r="H20" s="2"/>
    </row>
    <row r="21" customFormat="false" ht="15" hidden="false" customHeight="false" outlineLevel="0" collapsed="false">
      <c r="A21" s="3" t="s">
        <v>605</v>
      </c>
      <c r="B21" s="2"/>
      <c r="C21" s="2"/>
      <c r="D21" s="2"/>
      <c r="E21" s="2"/>
      <c r="F21" s="2"/>
      <c r="G21" s="2"/>
      <c r="H21" s="2"/>
    </row>
    <row r="22" customFormat="false" ht="15" hidden="false" customHeight="false" outlineLevel="0" collapsed="false">
      <c r="A22" s="2" t="s">
        <v>211</v>
      </c>
      <c r="B22" s="2" t="n">
        <f aca="false">COUNTIFS(Cases!$C:$C,"Candidate - not screened",Cases!$M:$M,A22)</f>
        <v>34</v>
      </c>
      <c r="C22" s="2"/>
      <c r="D22" s="2"/>
      <c r="E22" s="2"/>
      <c r="F22" s="2"/>
      <c r="G22" s="2"/>
      <c r="H22" s="2"/>
    </row>
    <row r="23" customFormat="false" ht="15" hidden="false" customHeight="false" outlineLevel="0" collapsed="false">
      <c r="A23" s="2" t="s">
        <v>182</v>
      </c>
      <c r="B23" s="2" t="n">
        <f aca="false">COUNTIFS(Cases!$C:$C,"Candidate - not screened",Cases!$M:$M,A23)</f>
        <v>5</v>
      </c>
      <c r="C23" s="2"/>
      <c r="D23" s="2"/>
      <c r="E23" s="2"/>
      <c r="F23" s="2"/>
      <c r="G23" s="2"/>
      <c r="H23" s="2"/>
    </row>
    <row r="24" customFormat="false" ht="15" hidden="false" customHeight="false" outlineLevel="0" collapsed="false">
      <c r="A24" s="2" t="s">
        <v>190</v>
      </c>
      <c r="B24" s="2" t="n">
        <f aca="false">COUNTIFS(Cases!$C:$C,"Candidate - not screened",Cases!$M:$M,A24)</f>
        <v>29</v>
      </c>
      <c r="C24" s="2"/>
      <c r="D24" s="2"/>
      <c r="E24" s="2"/>
      <c r="F24" s="2"/>
      <c r="G24" s="2"/>
      <c r="H24" s="2"/>
    </row>
    <row r="25" customFormat="false" ht="15" hidden="false" customHeight="false" outlineLevel="0" collapsed="false">
      <c r="A25" s="2" t="s">
        <v>159</v>
      </c>
      <c r="B25" s="2" t="n">
        <f aca="false">COUNTIFS(Cases!$C:$C,"Candidate - not screened",Cases!$M:$M,A25)</f>
        <v>0</v>
      </c>
      <c r="C25" s="2"/>
      <c r="D25" s="2"/>
      <c r="E25" s="2"/>
      <c r="F25" s="2"/>
      <c r="G25" s="2"/>
      <c r="H2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4" min="3" style="0" width="44"/>
    <col collapsed="false" customWidth="true" hidden="false" outlineLevel="0" max="5" min="5" style="0" width="60"/>
  </cols>
  <sheetData>
    <row r="1" customFormat="false" ht="15" hidden="false" customHeight="false" outlineLevel="0" collapsed="false">
      <c r="A1" s="19" t="s">
        <v>606</v>
      </c>
      <c r="B1" s="19" t="s">
        <v>22</v>
      </c>
      <c r="C1" s="19" t="s">
        <v>607</v>
      </c>
      <c r="D1" s="19" t="s">
        <v>608</v>
      </c>
      <c r="E1" s="19" t="s">
        <v>609</v>
      </c>
    </row>
    <row r="2" customFormat="false" ht="35.05" hidden="false" customHeight="false" outlineLevel="0" collapsed="false">
      <c r="A2" s="2" t="s">
        <v>610</v>
      </c>
      <c r="B2" s="2" t="s">
        <v>38</v>
      </c>
      <c r="C2" s="2" t="s">
        <v>611</v>
      </c>
      <c r="D2" s="2" t="s">
        <v>612</v>
      </c>
      <c r="E2" s="2" t="s">
        <v>613</v>
      </c>
    </row>
    <row r="3" customFormat="false" ht="23.85" hidden="false" customHeight="false" outlineLevel="0" collapsed="false">
      <c r="A3" s="2" t="s">
        <v>614</v>
      </c>
      <c r="B3" s="2" t="s">
        <v>72</v>
      </c>
      <c r="C3" s="2" t="s">
        <v>615</v>
      </c>
      <c r="D3" s="2" t="s">
        <v>616</v>
      </c>
      <c r="E3" s="2" t="s">
        <v>617</v>
      </c>
    </row>
    <row r="4" customFormat="false" ht="23.85" hidden="false" customHeight="false" outlineLevel="0" collapsed="false">
      <c r="A4" s="2" t="s">
        <v>618</v>
      </c>
      <c r="B4" s="2" t="s">
        <v>51</v>
      </c>
      <c r="C4" s="2" t="s">
        <v>619</v>
      </c>
      <c r="D4" s="2" t="s">
        <v>620</v>
      </c>
      <c r="E4" s="2" t="s">
        <v>621</v>
      </c>
    </row>
    <row r="5" customFormat="false" ht="23.85" hidden="false" customHeight="false" outlineLevel="0" collapsed="false">
      <c r="A5" s="2" t="s">
        <v>622</v>
      </c>
      <c r="B5" s="2" t="s">
        <v>51</v>
      </c>
      <c r="C5" s="2" t="s">
        <v>623</v>
      </c>
      <c r="D5" s="2" t="s">
        <v>624</v>
      </c>
      <c r="E5" s="2" t="s">
        <v>625</v>
      </c>
    </row>
    <row r="6" customFormat="false" ht="23.85" hidden="false" customHeight="false" outlineLevel="0" collapsed="false">
      <c r="A6" s="2" t="s">
        <v>626</v>
      </c>
      <c r="B6" s="2" t="s">
        <v>91</v>
      </c>
      <c r="C6" s="2" t="s">
        <v>627</v>
      </c>
      <c r="D6" s="2"/>
      <c r="E6" s="2" t="s">
        <v>628</v>
      </c>
    </row>
    <row r="7" customFormat="false" ht="23.85" hidden="false" customHeight="false" outlineLevel="0" collapsed="false">
      <c r="A7" s="2" t="s">
        <v>629</v>
      </c>
      <c r="B7" s="2" t="s">
        <v>72</v>
      </c>
      <c r="C7" s="2" t="s">
        <v>630</v>
      </c>
      <c r="D7" s="2" t="s">
        <v>494</v>
      </c>
      <c r="E7" s="2" t="s">
        <v>631</v>
      </c>
    </row>
    <row r="8" customFormat="false" ht="23.85" hidden="false" customHeight="false" outlineLevel="0" collapsed="false">
      <c r="A8" s="2" t="s">
        <v>632</v>
      </c>
      <c r="B8" s="2" t="s">
        <v>633</v>
      </c>
      <c r="C8" s="2" t="s">
        <v>634</v>
      </c>
      <c r="D8" s="2"/>
      <c r="E8" s="2" t="s">
        <v>625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2026-10-14T16:22:18Z</dcterms:created>
  <dc:creator>openpyxl</dc:creator>
  <dc:description/>
  <dc:language>en-US</dc:language>
  <cp:lastModifiedBy/>
  <dcterms:modified xsi:type="dcterms:W3CDTF">2026-10-14T16:22:18Z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