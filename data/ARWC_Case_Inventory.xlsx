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ases" sheetId="2" state="visible" r:id="rId4"/>
    <sheet name="Summary" sheetId="3" state="visible" r:id="rId5"/>
    <sheet name="Coded cases" sheetId="4" state="visible" r:id="rId6"/>
    <sheet name="Official actions" sheetId="5" state="visible" r:id="rId7"/>
    <sheet name="Individuals" sheetId="6" state="visible" r:id="rId8"/>
    <sheet name="Coded sources" sheetId="7" state="visible" r:id="rId9"/>
    <sheet name="Jurisdiction records" sheetId="8" state="visible" r:id="rId10"/>
    <sheet name="Sources to mine" sheetId="9" state="visible" r:id="rId11"/>
    <sheet name="ARWC-CHN-001" sheetId="10" state="visible" r:id="rId12"/>
    <sheet name="ARWC-JPN-001" sheetId="11" state="visible" r:id="rId13"/>
    <sheet name="ARWC-JPN-002" sheetId="12" state="visible" r:id="rId14"/>
    <sheet name="ARWC-TWN-001" sheetId="13" state="visible" r:id="rId15"/>
    <sheet name="ARWC-IDN-001" sheetId="14" state="visible" r:id="rId16"/>
    <sheet name="ARWC-CHN-002" sheetId="15" state="visible" r:id="rId17"/>
    <sheet name="ARWC-KOR-001" sheetId="16" state="visible" r:id="rId18"/>
    <sheet name="EXC-HKG-001" sheetId="17" state="visible" r:id="rId19"/>
    <sheet name="ARWC-IND-001" sheetId="18" state="visible" r:id="rId20"/>
    <sheet name="ARWC-ISR-001" sheetId="19" state="visible" r:id="rId21"/>
    <sheet name="ARWC-PAK-001" sheetId="20" state="visible" r:id="rId22"/>
    <sheet name="ARWC-SGP-001" sheetId="21" state="visible" r:id="rId23"/>
    <sheet name="ARWC-VNM-001" sheetId="22" state="visible" r:id="rId24"/>
  </sheets>
  <definedNames>
    <definedName function="false" hidden="true" localSheetId="1" name="_xlnm._FilterDatabase" vbProcedure="false">Cases!$A$1:$P$89</definedName>
    <definedName function="false" hidden="true" localSheetId="3" name="_xlnm._FilterDatabase" vbProcedure="false">'Coded cases'!$A$2:$DS$15</definedName>
    <definedName function="false" hidden="true" localSheetId="6" name="_xlnm._FilterDatabase" vbProcedure="false">'Coded sources'!$A$1:$F$171</definedName>
    <definedName function="false" hidden="true" localSheetId="5" name="_xlnm._FilterDatabase" vbProcedure="false">Individuals!$A$1:$K$20</definedName>
    <definedName function="false" hidden="true" localSheetId="7" name="_xlnm._FilterDatabase" vbProcedure="false">'Jurisdiction records'!$A$1:$G$12</definedName>
    <definedName function="false" hidden="true" localSheetId="4" name="_xlnm._FilterDatabase" vbProcedure="false">'Official actions'!$A$1:$J$21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<sst xmlns="http://schemas.openxmlformats.org/spreadsheetml/2006/main" count="8354" uniqueCount="2316">
  <si>
    <t xml:space="preserve">ARWC case inventory (draft v0.1, 14 October 2026)</t>
  </si>
  <si>
    <t xml:space="preserve">Purpose: one list of every case already in the registry and every publicly documented case that could be screened for inclusion. Candidate rows are leads, not coded records.</t>
  </si>
  <si>
    <t xml:space="preserve">Status values</t>
  </si>
  <si>
    <t xml:space="preserve">Verified record: published and confirmed by a co-developer.</t>
  </si>
  <si>
    <t xml:space="preserve">Provisional record: coded to Codebook v1.0 and source-checked; awaiting co-developer confirmation.</t>
  </si>
  <si>
    <t xml:space="preserve">Pending: meets the criteria on the sources found, but the official act cannot yet be cited.</t>
  </si>
  <si>
    <t xml:space="preserve">Excluded (worked example): screened and excluded; kept as a worked example.</t>
  </si>
  <si>
    <t xml:space="preserve">Set aside in pilot: considered in the second coded set and not used (never final, or scope undecided).</t>
  </si>
  <si>
    <t xml:space="preserve">Candidate - not screened: listed from an existing archive, database or public reporting; not yet screened against the ARWC criteria.</t>
  </si>
  <si>
    <t xml:space="preserve">Reading the candidate rows</t>
  </si>
  <si>
    <t xml:space="preserve">Years, places and outcomes are as reported by the lead source and have not been checked against judgments. Rows marked 'as recalled; to confirm' were added from general knowledge of well-known cases and need a source before use.</t>
  </si>
  <si>
    <t xml:space="preserve">Finality check is a first guess: Likely = the conviction appears to have been final before correction; Doubtful = correction may have come on ordinary appeal or remand (ARWC excludes these); To check = not enough information.</t>
  </si>
  <si>
    <t xml:space="preserve">Preliminary category is a guess at A, B or C from the reported outcome; a '?' means it depends on documents not yet seen.</t>
  </si>
  <si>
    <t xml:space="preserve">Lead sources: USALI archive pages are linked where search found them. The archive, the Taiwan Innocence Project database and Innocence Project Japan could not be opened directly from the build environment, so their full lists are not included yet (see 'Sources to mine').</t>
  </si>
  <si>
    <t xml:space="preserve">How to edit</t>
  </si>
  <si>
    <t xml:space="preserve">Edit the 'Cases' sheet only: add rows at the bottom, change Status with the dropdown, fill in years and URLs. The 'Summary' sheet recounts automatically.</t>
  </si>
  <si>
    <t xml:space="preserve">To refresh the web page, run: python3 tools/build_inventory_html.py data/ARWC_Case_Inventory.xlsx inventory.html</t>
  </si>
  <si>
    <t xml:space="preserve">Coded case sheets</t>
  </si>
  <si>
    <t xml:space="preserve">'Coded cases' holds every fully coded case, one row per case and one column per Codebook v1.0 field (sections A to J; row 1 names the section). Use it for filtering and analysis.</t>
  </si>
  <si>
    <t xml:space="preserve">'Official actions', 'Individuals' and 'Coded sources' list the repeating parts of each entry, one row per action, person or source. 'Jurisdiction records' holds the linked jurisdiction records (drafts except China).</t>
  </si>
  <si>
    <t xml:space="preserve">One sheet per case (named by case ID) shows the full entry in the layout of Supplement B, the sample case in the framework paper.</t>
  </si>
  <si>
    <t xml:space="preserve">Coded cases included: ARWC-CHN-001, ARWC-JPN-001, ARWC-JPN-002, ARWC-TWN-001, ARWC-IDN-001, ARWC-CHN-002, ARWC-KOR-001, EXC-HKG-001, ARWC-IND-001, ARWC-ISR-001, ARWC-PAK-001, ARWC-SGP-001, ARWC-VNM-001. ARWC-CHN-001 (Nie Shubin) is entered exactly as published in Supplement B (coded at v0.3); the others come from the first and second coded sets of 1 October 2026, with their [verify] marks kept. ARWC-IDN-001 is pending and EXC-HKG-001 is a worked exclusion.</t>
  </si>
  <si>
    <t xml:space="preserve">Inventory ID</t>
  </si>
  <si>
    <t xml:space="preserve">ARWC ID</t>
  </si>
  <si>
    <t xml:space="preserve">Status</t>
  </si>
  <si>
    <t xml:space="preserve">Person(s)</t>
  </si>
  <si>
    <t xml:space="preserve">Local name</t>
  </si>
  <si>
    <t xml:space="preserve">Jurisdiction</t>
  </si>
  <si>
    <t xml:space="preserve">Place</t>
  </si>
  <si>
    <t xml:space="preserve">Offense (as reported)</t>
  </si>
  <si>
    <t xml:space="preserve">Final conviction (year)</t>
  </si>
  <si>
    <t xml:space="preserve">Correction (year)</t>
  </si>
  <si>
    <t xml:space="preserve">Correction (as reported)</t>
  </si>
  <si>
    <t xml:space="preserve">Preliminary category</t>
  </si>
  <si>
    <t xml:space="preserve">Finality check</t>
  </si>
  <si>
    <t xml:space="preserve">Lead source</t>
  </si>
  <si>
    <t xml:space="preserve">Source URL</t>
  </si>
  <si>
    <t xml:space="preserve">Notes / to check</t>
  </si>
  <si>
    <t xml:space="preserve">INV-001</t>
  </si>
  <si>
    <t xml:space="preserve">ARWC-CHN-0001</t>
  </si>
  <si>
    <t xml:space="preserve">Verified record</t>
  </si>
  <si>
    <t xml:space="preserve">Nie Shubin</t>
  </si>
  <si>
    <t xml:space="preserve">聂树斌</t>
  </si>
  <si>
    <t xml:space="preserve">China</t>
  </si>
  <si>
    <t xml:space="preserve">Hebei</t>
  </si>
  <si>
    <t xml:space="preserve">Murder and rape</t>
  </si>
  <si>
    <t xml:space="preserve">Retrial acquittal (SPC); state compensation 2017</t>
  </si>
  <si>
    <t xml:space="preserve">A, B</t>
  </si>
  <si>
    <t xml:space="preserve">Pass</t>
  </si>
  <si>
    <t xml:space="preserve">ARWC record; also USALI archive</t>
  </si>
  <si>
    <t xml:space="preserve">https://usali.org/wc-case-archive/nie-shubin-case</t>
  </si>
  <si>
    <t xml:space="preserve">INV-002</t>
  </si>
  <si>
    <t xml:space="preserve">ARWC-JPN-001</t>
  </si>
  <si>
    <t xml:space="preserve">Provisional record</t>
  </si>
  <si>
    <t xml:space="preserve">Hakamada Iwao</t>
  </si>
  <si>
    <t xml:space="preserve">袴田巌</t>
  </si>
  <si>
    <t xml:space="preserve">Japan</t>
  </si>
  <si>
    <t xml:space="preserve">Shizuoka</t>
  </si>
  <si>
    <t xml:space="preserve">Robbery-homicide, arson</t>
  </si>
  <si>
    <t xml:space="preserve">Retrial acquittal</t>
  </si>
  <si>
    <t xml:space="preserve">A</t>
  </si>
  <si>
    <t xml:space="preserve">ARWC first set</t>
  </si>
  <si>
    <t xml:space="preserve">https://www.courts.go.jp/hanrei/93622/detail4/index.html</t>
  </si>
  <si>
    <t xml:space="preserve">Awaiting co-developer confirmation</t>
  </si>
  <si>
    <t xml:space="preserve">INV-003</t>
  </si>
  <si>
    <t xml:space="preserve">ARWC-JPN-002</t>
  </si>
  <si>
    <t xml:space="preserve">Sugaya Toshikazu</t>
  </si>
  <si>
    <t xml:space="preserve">菅家利和</t>
  </si>
  <si>
    <t xml:space="preserve">Tochigi</t>
  </si>
  <si>
    <t xml:space="preserve">Kidnapping, murder</t>
  </si>
  <si>
    <t xml:space="preserve">Retrial acquittal; police review</t>
  </si>
  <si>
    <t xml:space="preserve">https://www.courts.go.jp/hanrei/80213/detail4/index.html</t>
  </si>
  <si>
    <t xml:space="preserve">Ashikaga case</t>
  </si>
  <si>
    <t xml:space="preserve">INV-004</t>
  </si>
  <si>
    <t xml:space="preserve">ARWC-TWN-001</t>
  </si>
  <si>
    <t xml:space="preserve">Chiang Kuo-ching</t>
  </si>
  <si>
    <t xml:space="preserve">江國慶</t>
  </si>
  <si>
    <t xml:space="preserve">Taiwan</t>
  </si>
  <si>
    <t xml:space="preserve">Taipei</t>
  </si>
  <si>
    <t xml:space="preserve">Rape (child killed)</t>
  </si>
  <si>
    <t xml:space="preserve">Control Yuan correction 2010; military retrial acquittal 2011</t>
  </si>
  <si>
    <t xml:space="preserve">https://cybsbox.cy.gov.tw/CYBSBoxSSL/edoc/download/50046</t>
  </si>
  <si>
    <t xml:space="preserve">Executed 1997; posthumous</t>
  </si>
  <si>
    <t xml:space="preserve">INV-005</t>
  </si>
  <si>
    <t xml:space="preserve">ARWC-CHN-002</t>
  </si>
  <si>
    <t xml:space="preserve">Zhang Yuhuan</t>
  </si>
  <si>
    <t xml:space="preserve">张玉环</t>
  </si>
  <si>
    <t xml:space="preserve">Jiangxi</t>
  </si>
  <si>
    <t xml:space="preserve">Intentional homicide</t>
  </si>
  <si>
    <t xml:space="preserve">Retrial acquittal; state compensation</t>
  </si>
  <si>
    <t xml:space="preserve">ARWC first set; also USALI archive</t>
  </si>
  <si>
    <t xml:space="preserve">https://usali.org/wc-case-archive/zhang-yuhuan-murder-case</t>
  </si>
  <si>
    <t xml:space="preserve">INV-006</t>
  </si>
  <si>
    <t xml:space="preserve">ARWC-KOR-001</t>
  </si>
  <si>
    <t xml:space="preserve">Yoon Sung-yeo</t>
  </si>
  <si>
    <t xml:space="preserve">윤성여</t>
  </si>
  <si>
    <t xml:space="preserve">Korea</t>
  </si>
  <si>
    <t xml:space="preserve">Gyeonggi</t>
  </si>
  <si>
    <t xml:space="preserve">Murder, rape resulting in death</t>
  </si>
  <si>
    <t xml:space="preserve">Retrial acquittal; state-damages judgment 2022</t>
  </si>
  <si>
    <t xml:space="preserve">Pass (date to confirm)</t>
  </si>
  <si>
    <t xml:space="preserve">https://www.lawtimes.co.kr/news/articleView.html?idxno=166641</t>
  </si>
  <si>
    <t xml:space="preserve">Eighth Hwaseong case</t>
  </si>
  <si>
    <t xml:space="preserve">INV-007</t>
  </si>
  <si>
    <t xml:space="preserve">ARWC-IND-001</t>
  </si>
  <si>
    <t xml:space="preserve">Ankush Maruti Shinde and five others</t>
  </si>
  <si>
    <t xml:space="preserve">India</t>
  </si>
  <si>
    <t xml:space="preserve">Maharashtra</t>
  </si>
  <si>
    <t xml:space="preserve">Murder, gang rape, dacoity</t>
  </si>
  <si>
    <t xml:space="preserve">Supreme Court acquittal after recall on review</t>
  </si>
  <si>
    <t xml:space="preserve">ARWC second set</t>
  </si>
  <si>
    <t xml:space="preserve">https://indiankanoon.org/doc/54814974/</t>
  </si>
  <si>
    <t xml:space="preserve">INV-008</t>
  </si>
  <si>
    <t xml:space="preserve">ARWC-ISR-001</t>
  </si>
  <si>
    <t xml:space="preserve">Roman Zadorov</t>
  </si>
  <si>
    <t xml:space="preserve">רומן זדורוב</t>
  </si>
  <si>
    <t xml:space="preserve">Israel</t>
  </si>
  <si>
    <t xml:space="preserve">Katzrin</t>
  </si>
  <si>
    <t xml:space="preserve">Murder</t>
  </si>
  <si>
    <t xml:space="preserve">https://www.gov.il/BlobFolder/dynamiccollectorresultitem/decision502-07/he/502-07.pdf</t>
  </si>
  <si>
    <t xml:space="preserve">INV-009</t>
  </si>
  <si>
    <t xml:space="preserve">ARWC-PAK-001</t>
  </si>
  <si>
    <t xml:space="preserve">Zulfikar Ali Bhutto</t>
  </si>
  <si>
    <t xml:space="preserve">ذوالفقار علی بھٹو</t>
  </si>
  <si>
    <t xml:space="preserve">Pakistan</t>
  </si>
  <si>
    <t xml:space="preserve">Lahore</t>
  </si>
  <si>
    <t xml:space="preserve">Murder (conspiracy, abetment)</t>
  </si>
  <si>
    <t xml:space="preserve">Supreme Court advisory opinion: no fair trial; conviction stands</t>
  </si>
  <si>
    <t xml:space="preserve">B</t>
  </si>
  <si>
    <t xml:space="preserve">https://www.dawn.com/news/1819573</t>
  </si>
  <si>
    <t xml:space="preserve">Executed 1979</t>
  </si>
  <si>
    <t xml:space="preserve">INV-010</t>
  </si>
  <si>
    <t xml:space="preserve">ARWC-SGP-001</t>
  </si>
  <si>
    <t xml:space="preserve">Ilechukwu Uchechukwu Chukwudi</t>
  </si>
  <si>
    <t xml:space="preserve">Singapore</t>
  </si>
  <si>
    <t xml:space="preserve">Drug trafficking (capital)</t>
  </si>
  <si>
    <t xml:space="preserve">Acquittal on reopening of concluded appeal</t>
  </si>
  <si>
    <t xml:space="preserve">https://www.elitigation.sg/gd/s/2020_SGCA_90</t>
  </si>
  <si>
    <t xml:space="preserve">INV-011</t>
  </si>
  <si>
    <t xml:space="preserve">ARWC-VNM-001</t>
  </si>
  <si>
    <t xml:space="preserve">Nguyen Thanh Chan</t>
  </si>
  <si>
    <t xml:space="preserve">Nguyễn Thanh Chấn</t>
  </si>
  <si>
    <t xml:space="preserve">Vietnam</t>
  </si>
  <si>
    <t xml:space="preserve">Bắc Giang</t>
  </si>
  <si>
    <t xml:space="preserve">Final judgments annulled on reopening; apology and compensation 2015</t>
  </si>
  <si>
    <t xml:space="preserve">https://baochinhphu.vn/tam-dinh-chi-thi-hanh-an-tu-chung-than-1-pham-nhan-102152351.htm</t>
  </si>
  <si>
    <t xml:space="preserve">INV-012</t>
  </si>
  <si>
    <t xml:space="preserve">ARWC-IDN-001</t>
  </si>
  <si>
    <t xml:space="preserve">Pending</t>
  </si>
  <si>
    <t xml:space="preserve">Sengkon and Karta</t>
  </si>
  <si>
    <t xml:space="preserve">Indonesia</t>
  </si>
  <si>
    <t xml:space="preserve">Bekasi</t>
  </si>
  <si>
    <t xml:space="preserve">Robbery and murder</t>
  </si>
  <si>
    <t xml:space="preserve">Supreme Court review (PK) granted, as reported</t>
  </si>
  <si>
    <t xml:space="preserve">Likely (date to confirm)</t>
  </si>
  <si>
    <t xml:space="preserve">https://www.thejakartapost.com/news/2008/09/02/editorial-defending-wrong-judgment.html</t>
  </si>
  <si>
    <t xml:space="preserve">Awaiting a citable copy of the Supreme Court's review decision</t>
  </si>
  <si>
    <t xml:space="preserve">INV-013</t>
  </si>
  <si>
    <t xml:space="preserve">EXC-HKG-001</t>
  </si>
  <si>
    <t xml:space="preserve">Excluded (worked example)</t>
  </si>
  <si>
    <t xml:space="preserve">A (anonymized)</t>
  </si>
  <si>
    <t xml:space="preserve">Hong Kong</t>
  </si>
  <si>
    <t xml:space="preserve">Conspiracy to rob</t>
  </si>
  <si>
    <t xml:space="preserve">Quashed on ordinary appeal</t>
  </si>
  <si>
    <t xml:space="preserve">Fail</t>
  </si>
  <si>
    <t xml:space="preserve">https://www.doj.gov.hk/en/notable_judgments/pdf/HCAL_176_2018e.pdf</t>
  </si>
  <si>
    <t xml:space="preserve">Quashed on ordinary appeal, so the conviction was never final</t>
  </si>
  <si>
    <t xml:space="preserve">INV-014</t>
  </si>
  <si>
    <t xml:space="preserve">Set aside in pilot</t>
  </si>
  <si>
    <t xml:space="preserve">Hubert Webb and co-accused (Vizconde case)</t>
  </si>
  <si>
    <t xml:space="preserve">Philippines</t>
  </si>
  <si>
    <t xml:space="preserve">Rape with homicide</t>
  </si>
  <si>
    <t xml:space="preserve">Supreme Court acquittal on appeal</t>
  </si>
  <si>
    <t xml:space="preserve">ARWC second set (candidates list)</t>
  </si>
  <si>
    <t xml:space="preserve">Corrected on ordinary appeal</t>
  </si>
  <si>
    <t xml:space="preserve">INV-015</t>
  </si>
  <si>
    <t xml:space="preserve">Asia Bibi</t>
  </si>
  <si>
    <t xml:space="preserve">Blasphemy</t>
  </si>
  <si>
    <t xml:space="preserve">INV-016</t>
  </si>
  <si>
    <t xml:space="preserve">Sandeep Lamichhane</t>
  </si>
  <si>
    <t xml:space="preserve">Nepal</t>
  </si>
  <si>
    <t xml:space="preserve">Rape</t>
  </si>
  <si>
    <t xml:space="preserve">High Court acquittal on appeal</t>
  </si>
  <si>
    <t xml:space="preserve">INV-017</t>
  </si>
  <si>
    <t xml:space="preserve">Born Samnang and Sok Sam Oeun</t>
  </si>
  <si>
    <t xml:space="preserve">Cambodia</t>
  </si>
  <si>
    <t xml:space="preserve">Decided within appeal and cassation chain, as reported</t>
  </si>
  <si>
    <t xml:space="preserve">Doubtful</t>
  </si>
  <si>
    <t xml:space="preserve">Decided within the appeal chain; finality not established</t>
  </si>
  <si>
    <t xml:space="preserve">INV-018</t>
  </si>
  <si>
    <t xml:space="preserve">Ilgar Mammadov</t>
  </si>
  <si>
    <t xml:space="preserve">Azerbaijan</t>
  </si>
  <si>
    <t xml:space="preserve">Organizing mass disorder</t>
  </si>
  <si>
    <t xml:space="preserve">Supreme Court acquittal after ECtHR judgments</t>
  </si>
  <si>
    <t xml:space="preserve">A?</t>
  </si>
  <si>
    <t xml:space="preserve">To check</t>
  </si>
  <si>
    <t xml:space="preserve">Outside the region covered by the pilot; scope not yet decided</t>
  </si>
  <si>
    <t xml:space="preserve">INV-019</t>
  </si>
  <si>
    <t xml:space="preserve">Sledgehammer (Balyoz) defendants</t>
  </si>
  <si>
    <t xml:space="preserve">Turkey</t>
  </si>
  <si>
    <t xml:space="preserve">Coup plot</t>
  </si>
  <si>
    <t xml:space="preserve">Retrial acquittal after Constitutional Court ruling</t>
  </si>
  <si>
    <t xml:space="preserve">INV-020</t>
  </si>
  <si>
    <t xml:space="preserve">Anwar Ibrahim</t>
  </si>
  <si>
    <t xml:space="preserve">Malaysia</t>
  </si>
  <si>
    <t xml:space="preserve">Sodomy</t>
  </si>
  <si>
    <t xml:space="preserve">Full royal pardon</t>
  </si>
  <si>
    <t xml:space="preserve">C?</t>
  </si>
  <si>
    <t xml:space="preserve">Would qualify only if official documents tie the pardon to wrongful-conviction concerns</t>
  </si>
  <si>
    <t xml:space="preserve">INV-021</t>
  </si>
  <si>
    <t xml:space="preserve">Candidate - not screened</t>
  </si>
  <si>
    <t xml:space="preserve">She Xianglin</t>
  </si>
  <si>
    <t xml:space="preserve">佘祥林</t>
  </si>
  <si>
    <t xml:space="preserve">Hubei</t>
  </si>
  <si>
    <t xml:space="preserve">Retrial acquittal; alleged victim reappeared</t>
  </si>
  <si>
    <t xml:space="preserve">Likely</t>
  </si>
  <si>
    <t xml:space="preserve">USALI archive</t>
  </si>
  <si>
    <t xml:space="preserve">https://usali.org/wc-case-archive/she-xianglin-case</t>
  </si>
  <si>
    <t xml:space="preserve">INV-022</t>
  </si>
  <si>
    <t xml:space="preserve">Zhao Zuohai</t>
  </si>
  <si>
    <t xml:space="preserve">赵作海</t>
  </si>
  <si>
    <t xml:space="preserve">Henan</t>
  </si>
  <si>
    <t xml:space="preserve">https://usali.org/wc-case-archive/zhao-zuohai-case</t>
  </si>
  <si>
    <t xml:space="preserve">INV-023</t>
  </si>
  <si>
    <t xml:space="preserve">Huugjilt (Huge Jiletu)</t>
  </si>
  <si>
    <t xml:space="preserve">呼格吉勒图</t>
  </si>
  <si>
    <t xml:space="preserve">Inner Mongolia</t>
  </si>
  <si>
    <t xml:space="preserve">Rape and murder</t>
  </si>
  <si>
    <t xml:space="preserve">Posthumous retrial acquittal; executed 1996</t>
  </si>
  <si>
    <t xml:space="preserve">https://usali.org/wc-case-archive/huge-jiletu-case</t>
  </si>
  <si>
    <t xml:space="preserve">Another man later confessed</t>
  </si>
  <si>
    <t xml:space="preserve">INV-024</t>
  </si>
  <si>
    <t xml:space="preserve">Zhang Hui and Zhang Gaoping</t>
  </si>
  <si>
    <t xml:space="preserve">张辉、张高平</t>
  </si>
  <si>
    <t xml:space="preserve">Zhejiang</t>
  </si>
  <si>
    <t xml:space="preserve">Rape (victim killed)</t>
  </si>
  <si>
    <t xml:space="preserve">A, B?</t>
  </si>
  <si>
    <t xml:space="preserve">https://usali.org/wc-case-archive/zhang-hui-zhang-gaoping-case</t>
  </si>
  <si>
    <t xml:space="preserve">Jailhouse informant evidence</t>
  </si>
  <si>
    <t xml:space="preserve">INV-025</t>
  </si>
  <si>
    <t xml:space="preserve">Tian Weidong and four others</t>
  </si>
  <si>
    <t xml:space="preserve">田伟冬等五人</t>
  </si>
  <si>
    <t xml:space="preserve">Zhejiang (Xiaoshan)</t>
  </si>
  <si>
    <t xml:space="preserve">https://usali.org/wc-case-archive/tian-weidong-case</t>
  </si>
  <si>
    <t xml:space="preserve">Xiaoshan five; real perpetrator confessed</t>
  </si>
  <si>
    <t xml:space="preserve">INV-026</t>
  </si>
  <si>
    <t xml:space="preserve">Du Peiwu</t>
  </si>
  <si>
    <t xml:space="preserve">杜培武</t>
  </si>
  <si>
    <t xml:space="preserve">Yunnan</t>
  </si>
  <si>
    <t xml:space="preserve">Acquittal by Yunnan High Court after real perpetrator found</t>
  </si>
  <si>
    <t xml:space="preserve">https://usali.org/wc-case-archive/du-peiwu-case</t>
  </si>
  <si>
    <t xml:space="preserve">Check whether conviction was final before 2000</t>
  </si>
  <si>
    <t xml:space="preserve">INV-027</t>
  </si>
  <si>
    <t xml:space="preserve">Bai Chunrong</t>
  </si>
  <si>
    <t xml:space="preserve">白春荣</t>
  </si>
  <si>
    <t xml:space="preserve">Guangdong (Foshan)</t>
  </si>
  <si>
    <t xml:space="preserve">Theft</t>
  </si>
  <si>
    <t xml:space="preserve">Acquittal on insufficient evidence</t>
  </si>
  <si>
    <t xml:space="preserve">https://usali.org/wc-case-archive/bai-chun-rong-case</t>
  </si>
  <si>
    <t xml:space="preserve">Sentence already served</t>
  </si>
  <si>
    <t xml:space="preserve">INV-028</t>
  </si>
  <si>
    <t xml:space="preserve">Shen Liujin (Fang Weishe)</t>
  </si>
  <si>
    <t xml:space="preserve">沈六斤</t>
  </si>
  <si>
    <t xml:space="preserve">High court acquittal on misidentification</t>
  </si>
  <si>
    <t xml:space="preserve">https://usali.org/wc-case-archive/shen-liujin-murder-case</t>
  </si>
  <si>
    <t xml:space="preserve">INV-029</t>
  </si>
  <si>
    <t xml:space="preserve">Guo Li</t>
  </si>
  <si>
    <t xml:space="preserve">郭利</t>
  </si>
  <si>
    <t xml:space="preserve">Guangdong</t>
  </si>
  <si>
    <t xml:space="preserve">Extortion</t>
  </si>
  <si>
    <t xml:space="preserve">Acquittal, as reported</t>
  </si>
  <si>
    <t xml:space="preserve">https://usali.org/wc-case-archive/guo-li-racketeering-case</t>
  </si>
  <si>
    <t xml:space="preserve">INV-030</t>
  </si>
  <si>
    <t xml:space="preserve">Zeng Fannian</t>
  </si>
  <si>
    <t xml:space="preserve">曾凡年</t>
  </si>
  <si>
    <t xml:space="preserve">https://usali.org/wc-case-archive/zeng-fannian-extortion-case</t>
  </si>
  <si>
    <t xml:space="preserve">INV-031</t>
  </si>
  <si>
    <t xml:space="preserve">Zeng Aiyun</t>
  </si>
  <si>
    <t xml:space="preserve">曾爱云</t>
  </si>
  <si>
    <t xml:space="preserve">Hunan (Xiangtan)</t>
  </si>
  <si>
    <t xml:space="preserve">https://usali.org/wc-case-archive/zeng-aiyun-murder-case</t>
  </si>
  <si>
    <t xml:space="preserve">2004 conviction vacated on appeal in 2005; may never have been final</t>
  </si>
  <si>
    <t xml:space="preserve">INV-032</t>
  </si>
  <si>
    <t xml:space="preserve">Qian Renfeng</t>
  </si>
  <si>
    <t xml:space="preserve">钱仁风</t>
  </si>
  <si>
    <t xml:space="preserve">Poisoning</t>
  </si>
  <si>
    <t xml:space="preserve">Retrial ordered 2015; outcome to check</t>
  </si>
  <si>
    <t xml:space="preserve">https://usali.org/wc-case-archive/qian-renfeng-poison-case</t>
  </si>
  <si>
    <t xml:space="preserve">INV-033</t>
  </si>
  <si>
    <t xml:space="preserve">Fang Junjin</t>
  </si>
  <si>
    <t xml:space="preserve">方俊金</t>
  </si>
  <si>
    <t xml:space="preserve">Illegal intrusion into a dwelling</t>
  </si>
  <si>
    <t xml:space="preserve">https://usali.org/wc-case-archive/fang-junjin-case</t>
  </si>
  <si>
    <t xml:space="preserve">INV-034</t>
  </si>
  <si>
    <t xml:space="preserve">Tan Xiuyi</t>
  </si>
  <si>
    <t xml:space="preserve">谭修义</t>
  </si>
  <si>
    <t xml:space="preserve">Exonerated, as reported</t>
  </si>
  <si>
    <t xml:space="preserve">https://usali.org/wc-case-archive/tan-xiuyi-rape-and-murder-case</t>
  </si>
  <si>
    <t xml:space="preserve">1993 offense</t>
  </si>
  <si>
    <t xml:space="preserve">INV-035</t>
  </si>
  <si>
    <t xml:space="preserve">Lu Rongxin</t>
  </si>
  <si>
    <t xml:space="preserve">卢荣新</t>
  </si>
  <si>
    <t xml:space="preserve">High court acquittal; DNA did not match</t>
  </si>
  <si>
    <t xml:space="preserve">https://usali.org/wc-case-archive/lu-rongxin-rape-and-murder-case</t>
  </si>
  <si>
    <t xml:space="preserve">Death sentence 2015, acquitted 2017: check whether ever final</t>
  </si>
  <si>
    <t xml:space="preserve">INV-036</t>
  </si>
  <si>
    <t xml:space="preserve">Wang Benyu</t>
  </si>
  <si>
    <t xml:space="preserve">王本余</t>
  </si>
  <si>
    <t xml:space="preserve">Murder and rape of a girl</t>
  </si>
  <si>
    <t xml:space="preserve">Acquittal after real perpetrator confessed</t>
  </si>
  <si>
    <t xml:space="preserve">https://usali.org/wc-case-archive/wang-benyu-case</t>
  </si>
  <si>
    <t xml:space="preserve">INV-037</t>
  </si>
  <si>
    <t xml:space="preserve">Zhang Guangxiang</t>
  </si>
  <si>
    <t xml:space="preserve">张光祥</t>
  </si>
  <si>
    <t xml:space="preserve">Guizhou</t>
  </si>
  <si>
    <t xml:space="preserve">Robbery</t>
  </si>
  <si>
    <t xml:space="preserve">Acquittal about ten years after incarceration, as reported</t>
  </si>
  <si>
    <t xml:space="preserve">https://usali.org/wc-case-archive/new-zhang-guangxiang-robbery-case-</t>
  </si>
  <si>
    <t xml:space="preserve">1999 offense</t>
  </si>
  <si>
    <t xml:space="preserve">INV-038</t>
  </si>
  <si>
    <t xml:space="preserve">Yang Botao</t>
  </si>
  <si>
    <t xml:space="preserve">杨波涛</t>
  </si>
  <si>
    <t xml:space="preserve">Henan (Shangqiu)</t>
  </si>
  <si>
    <t xml:space="preserve">https://usali.org/wc-case-archive/yang-botao-case</t>
  </si>
  <si>
    <t xml:space="preserve">INV-039</t>
  </si>
  <si>
    <t xml:space="preserve">Wu Chunhong</t>
  </si>
  <si>
    <t xml:space="preserve">吴春红</t>
  </si>
  <si>
    <t xml:space="preserve">Henan (Minquan)</t>
  </si>
  <si>
    <t xml:space="preserve">Intentional homicide (poisoning)</t>
  </si>
  <si>
    <t xml:space="preserve">https://usali.org/wc-case-archive/wu-chunhong-murder-case</t>
  </si>
  <si>
    <t xml:space="preserve">Life sentence on fourth conviction</t>
  </si>
  <si>
    <t xml:space="preserve">INV-040</t>
  </si>
  <si>
    <t xml:space="preserve">Li Huailiang</t>
  </si>
  <si>
    <t xml:space="preserve">李怀亮</t>
  </si>
  <si>
    <t xml:space="preserve">Acquittal</t>
  </si>
  <si>
    <t xml:space="preserve">https://usali.org/wc-case-archive/li-huailiang-case</t>
  </si>
  <si>
    <t xml:space="preserve">Repeated remands: check whether ever final</t>
  </si>
  <si>
    <t xml:space="preserve">INV-041</t>
  </si>
  <si>
    <t xml:space="preserve">Sun Wangang</t>
  </si>
  <si>
    <t xml:space="preserve">孙万刚</t>
  </si>
  <si>
    <t xml:space="preserve">https://usali.org/wc-case-archive/sun-wangang-case</t>
  </si>
  <si>
    <t xml:space="preserve">INV-042</t>
  </si>
  <si>
    <t xml:space="preserve">Yang Dewu</t>
  </si>
  <si>
    <t xml:space="preserve">杨德武</t>
  </si>
  <si>
    <t xml:space="preserve">Anhui</t>
  </si>
  <si>
    <t xml:space="preserve">Acquittal after case reopened</t>
  </si>
  <si>
    <t xml:space="preserve">https://usali.org/wc-case-archive/yang-dewu-murder-case</t>
  </si>
  <si>
    <t xml:space="preserve">INV-043</t>
  </si>
  <si>
    <t xml:space="preserve">Zheng Yonglin</t>
  </si>
  <si>
    <t xml:space="preserve">郑永林</t>
  </si>
  <si>
    <t xml:space="preserve">https://usali.org/wc-case-archive/zheng-yonglin-case</t>
  </si>
  <si>
    <t xml:space="preserve">INV-044</t>
  </si>
  <si>
    <t xml:space="preserve">Yu Yingsheng</t>
  </si>
  <si>
    <t xml:space="preserve">于英生</t>
  </si>
  <si>
    <t xml:space="preserve">Retrial acquittal; police officer later identified</t>
  </si>
  <si>
    <t xml:space="preserve">https://usali.org/wc-case-archive/yu-yingsheng-case</t>
  </si>
  <si>
    <r>
      <rPr>
        <sz val="10"/>
        <rFont val="Arial"/>
        <family val="0"/>
        <charset val="1"/>
      </rPr>
      <t xml:space="preserve">Archive title gives </t>
    </r>
    <r>
      <rPr>
        <sz val="10"/>
        <rFont val="WenQuanYi Zen Hei"/>
        <family val="2"/>
      </rPr>
      <t xml:space="preserve">余英生</t>
    </r>
    <r>
      <rPr>
        <sz val="10"/>
        <rFont val="Arial"/>
        <family val="0"/>
        <charset val="1"/>
      </rPr>
      <t xml:space="preserve">; check characters</t>
    </r>
  </si>
  <si>
    <t xml:space="preserve">INV-045</t>
  </si>
  <si>
    <t xml:space="preserve">Xie Zhehai</t>
  </si>
  <si>
    <t xml:space="preserve">谢哲海</t>
  </si>
  <si>
    <t xml:space="preserve">Acquittal by Henan High Court, insufficient evidence</t>
  </si>
  <si>
    <t xml:space="preserve">https://usali.org/new-and-notable/new-additions-to-wrongful-convictions-case-archive</t>
  </si>
  <si>
    <t xml:space="preserve">INV-046</t>
  </si>
  <si>
    <t xml:space="preserve">Liu Zhonglin</t>
  </si>
  <si>
    <t xml:space="preserve">刘忠林</t>
  </si>
  <si>
    <t xml:space="preserve">Jilin</t>
  </si>
  <si>
    <t xml:space="preserve">INV-047</t>
  </si>
  <si>
    <t xml:space="preserve">Chen Man</t>
  </si>
  <si>
    <t xml:space="preserve">陈满</t>
  </si>
  <si>
    <t xml:space="preserve">Hainan</t>
  </si>
  <si>
    <t xml:space="preserve">Murder and arson</t>
  </si>
  <si>
    <t xml:space="preserve">Retrial acquittal on procuratorate protest</t>
  </si>
  <si>
    <t xml:space="preserve">https://usali.org/wc-case-archive</t>
  </si>
  <si>
    <t xml:space="preserve">Case page URL to find</t>
  </si>
  <si>
    <t xml:space="preserve">INV-048</t>
  </si>
  <si>
    <t xml:space="preserve">Nian Bin</t>
  </si>
  <si>
    <t xml:space="preserve">念斌</t>
  </si>
  <si>
    <t xml:space="preserve">Fujian</t>
  </si>
  <si>
    <t xml:space="preserve">Acquittal by Fujian High Court</t>
  </si>
  <si>
    <t xml:space="preserve">Acquitted after remands; check whether conviction was ever final</t>
  </si>
  <si>
    <t xml:space="preserve">INV-049</t>
  </si>
  <si>
    <t xml:space="preserve">Zhang Xinliang</t>
  </si>
  <si>
    <t xml:space="preserve">张新亮</t>
  </si>
  <si>
    <t xml:space="preserve">Tagged forced confession, jailhouse informant</t>
  </si>
  <si>
    <t xml:space="preserve">INV-050</t>
  </si>
  <si>
    <t xml:space="preserve">Yang Ming</t>
  </si>
  <si>
    <t xml:space="preserve">杨明</t>
  </si>
  <si>
    <t xml:space="preserve">INV-051</t>
  </si>
  <si>
    <t xml:space="preserve">Jin Zhehong</t>
  </si>
  <si>
    <t xml:space="preserve">金哲宏</t>
  </si>
  <si>
    <t xml:space="preserve">Retrial acquittal (as recalled; to confirm)</t>
  </si>
  <si>
    <t xml:space="preserve">Media; check USALI archive</t>
  </si>
  <si>
    <t xml:space="preserve">INV-052</t>
  </si>
  <si>
    <t xml:space="preserve">Li Jinlian</t>
  </si>
  <si>
    <t xml:space="preserve">李锦莲</t>
  </si>
  <si>
    <t xml:space="preserve">INV-053</t>
  </si>
  <si>
    <t xml:space="preserve">Huang Jiaguang</t>
  </si>
  <si>
    <t xml:space="preserve">黄家光</t>
  </si>
  <si>
    <t xml:space="preserve">INV-054</t>
  </si>
  <si>
    <t xml:space="preserve">Xu Hui</t>
  </si>
  <si>
    <t xml:space="preserve">徐辉</t>
  </si>
  <si>
    <t xml:space="preserve">INV-055</t>
  </si>
  <si>
    <t xml:space="preserve">Teng Xingshan</t>
  </si>
  <si>
    <t xml:space="preserve">滕兴善</t>
  </si>
  <si>
    <t xml:space="preserve">Hunan</t>
  </si>
  <si>
    <t xml:space="preserve">Posthumous retrial acquittal; executed 1989 (as recalled; to confirm)</t>
  </si>
  <si>
    <t xml:space="preserve">Alleged victim reported alive</t>
  </si>
  <si>
    <t xml:space="preserve">INV-056</t>
  </si>
  <si>
    <t xml:space="preserve">Menda Sakae</t>
  </si>
  <si>
    <t xml:space="preserve">免田栄</t>
  </si>
  <si>
    <t xml:space="preserve">Kumamoto</t>
  </si>
  <si>
    <t xml:space="preserve">Robbery-murder</t>
  </si>
  <si>
    <t xml:space="preserve">Retrial acquittal; death row</t>
  </si>
  <si>
    <t xml:space="preserve">Postwar death-row retrials; IPJ / JFBA</t>
  </si>
  <si>
    <r>
      <rPr>
        <sz val="10"/>
        <rFont val="Arial"/>
        <family val="0"/>
        <charset val="1"/>
      </rPr>
      <t xml:space="preserve">Menda case (</t>
    </r>
    <r>
      <rPr>
        <sz val="10"/>
        <rFont val="WenQuanYi Zen Hei"/>
        <family val="2"/>
      </rPr>
      <t xml:space="preserve">免田事件</t>
    </r>
    <r>
      <rPr>
        <sz val="10"/>
        <rFont val="Arial"/>
        <family val="0"/>
        <charset val="1"/>
      </rPr>
      <t xml:space="preserve">)</t>
    </r>
  </si>
  <si>
    <t xml:space="preserve">INV-057</t>
  </si>
  <si>
    <t xml:space="preserve">Taniguchi Shigeyoshi</t>
  </si>
  <si>
    <t xml:space="preserve">谷口繁義</t>
  </si>
  <si>
    <t xml:space="preserve">Kagawa</t>
  </si>
  <si>
    <r>
      <rPr>
        <sz val="10"/>
        <rFont val="Arial"/>
        <family val="0"/>
        <charset val="1"/>
      </rPr>
      <t xml:space="preserve">Saitagawa case (</t>
    </r>
    <r>
      <rPr>
        <sz val="10"/>
        <rFont val="WenQuanYi Zen Hei"/>
        <family val="2"/>
      </rPr>
      <t xml:space="preserve">財田川事件</t>
    </r>
    <r>
      <rPr>
        <sz val="10"/>
        <rFont val="Arial"/>
        <family val="0"/>
        <charset val="1"/>
      </rPr>
      <t xml:space="preserve">)</t>
    </r>
  </si>
  <si>
    <t xml:space="preserve">INV-058</t>
  </si>
  <si>
    <t xml:space="preserve">Saitō Yukio</t>
  </si>
  <si>
    <t xml:space="preserve">斎藤幸夫</t>
  </si>
  <si>
    <t xml:space="preserve">Miyagi</t>
  </si>
  <si>
    <t xml:space="preserve">Robbery-murder, arson</t>
  </si>
  <si>
    <r>
      <rPr>
        <sz val="10"/>
        <rFont val="Arial"/>
        <family val="0"/>
        <charset val="1"/>
      </rPr>
      <t xml:space="preserve">Matsuyama case (</t>
    </r>
    <r>
      <rPr>
        <sz val="10"/>
        <rFont val="WenQuanYi Zen Hei"/>
        <family val="2"/>
      </rPr>
      <t xml:space="preserve">松山事件</t>
    </r>
    <r>
      <rPr>
        <sz val="10"/>
        <rFont val="Arial"/>
        <family val="0"/>
        <charset val="1"/>
      </rPr>
      <t xml:space="preserve">)</t>
    </r>
  </si>
  <si>
    <t xml:space="preserve">INV-059</t>
  </si>
  <si>
    <t xml:space="preserve">Akahori Masao</t>
  </si>
  <si>
    <t xml:space="preserve">赤堀政夫</t>
  </si>
  <si>
    <t xml:space="preserve">Kidnapping, rape and murder</t>
  </si>
  <si>
    <r>
      <rPr>
        <sz val="10"/>
        <rFont val="Arial"/>
        <family val="0"/>
        <charset val="1"/>
      </rPr>
      <t xml:space="preserve">Shimada case (</t>
    </r>
    <r>
      <rPr>
        <sz val="10"/>
        <rFont val="WenQuanYi Zen Hei"/>
        <family val="2"/>
      </rPr>
      <t xml:space="preserve">島田事件</t>
    </r>
    <r>
      <rPr>
        <sz val="10"/>
        <rFont val="Arial"/>
        <family val="0"/>
        <charset val="1"/>
      </rPr>
      <t xml:space="preserve">)</t>
    </r>
  </si>
  <si>
    <t xml:space="preserve">INV-060</t>
  </si>
  <si>
    <t xml:space="preserve">Sakurai Shōji and Sugiyama Takao</t>
  </si>
  <si>
    <t xml:space="preserve">桜井昌司、杉山卓男</t>
  </si>
  <si>
    <t xml:space="preserve">Ibaraki</t>
  </si>
  <si>
    <t xml:space="preserve">IPJ / JFBA; media</t>
  </si>
  <si>
    <r>
      <rPr>
        <sz val="10"/>
        <rFont val="Arial"/>
        <family val="0"/>
        <charset val="1"/>
      </rPr>
      <t xml:space="preserve">Fukawa case (</t>
    </r>
    <r>
      <rPr>
        <sz val="10"/>
        <rFont val="WenQuanYi Zen Hei"/>
        <family val="2"/>
      </rPr>
      <t xml:space="preserve">布川事件</t>
    </r>
    <r>
      <rPr>
        <sz val="10"/>
        <rFont val="Arial"/>
        <family val="0"/>
        <charset val="1"/>
      </rPr>
      <t xml:space="preserve">)</t>
    </r>
  </si>
  <si>
    <t xml:space="preserve">INV-061</t>
  </si>
  <si>
    <t xml:space="preserve">Govinda Prasad Mainali</t>
  </si>
  <si>
    <t xml:space="preserve">Tokyo</t>
  </si>
  <si>
    <t xml:space="preserve">Retrial acquittal; DNA</t>
  </si>
  <si>
    <r>
      <rPr>
        <sz val="10"/>
        <rFont val="Arial"/>
        <family val="0"/>
        <charset val="1"/>
      </rPr>
      <t xml:space="preserve">Tokyo Electric employee murder case (</t>
    </r>
    <r>
      <rPr>
        <sz val="10"/>
        <rFont val="WenQuanYi Zen Hei"/>
        <family val="2"/>
      </rPr>
      <t xml:space="preserve">東電</t>
    </r>
    <r>
      <rPr>
        <sz val="10"/>
        <rFont val="Arial"/>
        <family val="0"/>
        <charset val="1"/>
      </rPr>
      <t xml:space="preserve">OL</t>
    </r>
    <r>
      <rPr>
        <sz val="10"/>
        <rFont val="WenQuanYi Zen Hei"/>
        <family val="2"/>
      </rPr>
      <t xml:space="preserve">殺人事件</t>
    </r>
    <r>
      <rPr>
        <sz val="10"/>
        <rFont val="Arial"/>
        <family val="0"/>
        <charset val="1"/>
      </rPr>
      <t xml:space="preserve">)</t>
    </r>
  </si>
  <si>
    <t xml:space="preserve">INV-062</t>
  </si>
  <si>
    <t xml:space="preserve">Aoki Keiko and Boku Tatsuo</t>
  </si>
  <si>
    <t xml:space="preserve">青木惠子、朴龍晧</t>
  </si>
  <si>
    <t xml:space="preserve">Osaka</t>
  </si>
  <si>
    <t xml:space="preserve">Arson and murder</t>
  </si>
  <si>
    <r>
      <rPr>
        <sz val="10"/>
        <rFont val="Arial"/>
        <family val="0"/>
        <charset val="1"/>
      </rPr>
      <t xml:space="preserve">Higashisumiyoshi case (</t>
    </r>
    <r>
      <rPr>
        <sz val="10"/>
        <rFont val="WenQuanYi Zen Hei"/>
        <family val="2"/>
      </rPr>
      <t xml:space="preserve">東住吉事件</t>
    </r>
    <r>
      <rPr>
        <sz val="10"/>
        <rFont val="Arial"/>
        <family val="0"/>
        <charset val="1"/>
      </rPr>
      <t xml:space="preserve">)</t>
    </r>
  </si>
  <si>
    <t xml:space="preserve">INV-063</t>
  </si>
  <si>
    <t xml:space="preserve">Nishiyama Mika</t>
  </si>
  <si>
    <t xml:space="preserve">西山美香</t>
  </si>
  <si>
    <t xml:space="preserve">Shiga</t>
  </si>
  <si>
    <r>
      <rPr>
        <sz val="10"/>
        <rFont val="Arial"/>
        <family val="0"/>
        <charset val="1"/>
      </rPr>
      <t xml:space="preserve">Koto Memorial Hospital case (</t>
    </r>
    <r>
      <rPr>
        <sz val="10"/>
        <rFont val="WenQuanYi Zen Hei"/>
        <family val="2"/>
      </rPr>
      <t xml:space="preserve">湖東記念病院事件</t>
    </r>
    <r>
      <rPr>
        <sz val="10"/>
        <rFont val="Arial"/>
        <family val="0"/>
        <charset val="1"/>
      </rPr>
      <t xml:space="preserve">)</t>
    </r>
  </si>
  <si>
    <t xml:space="preserve">INV-064</t>
  </si>
  <si>
    <t xml:space="preserve">Miyata Kōshi</t>
  </si>
  <si>
    <t xml:space="preserve">宮田浩喜</t>
  </si>
  <si>
    <r>
      <rPr>
        <sz val="10"/>
        <rFont val="Arial"/>
        <family val="0"/>
        <charset val="1"/>
      </rPr>
      <t xml:space="preserve">Matsubase case (</t>
    </r>
    <r>
      <rPr>
        <sz val="10"/>
        <rFont val="WenQuanYi Zen Hei"/>
        <family val="2"/>
      </rPr>
      <t xml:space="preserve">松橋事件</t>
    </r>
    <r>
      <rPr>
        <sz val="10"/>
        <rFont val="Arial"/>
        <family val="0"/>
        <charset val="1"/>
      </rPr>
      <t xml:space="preserve">)</t>
    </r>
  </si>
  <si>
    <t xml:space="preserve">INV-065</t>
  </si>
  <si>
    <t xml:space="preserve">Yanagihara Hiroshi</t>
  </si>
  <si>
    <t xml:space="preserve">柳原浩</t>
  </si>
  <si>
    <t xml:space="preserve">Toyama</t>
  </si>
  <si>
    <t xml:space="preserve">Rape, attempted rape</t>
  </si>
  <si>
    <t xml:space="preserve">Retrial acquittal after real perpetrator found</t>
  </si>
  <si>
    <r>
      <rPr>
        <sz val="10"/>
        <rFont val="Arial"/>
        <family val="0"/>
        <charset val="1"/>
      </rPr>
      <t xml:space="preserve">Himi case (</t>
    </r>
    <r>
      <rPr>
        <sz val="10"/>
        <rFont val="WenQuanYi Zen Hei"/>
        <family val="2"/>
      </rPr>
      <t xml:space="preserve">氷見事件</t>
    </r>
    <r>
      <rPr>
        <sz val="10"/>
        <rFont val="Arial"/>
        <family val="0"/>
        <charset val="1"/>
      </rPr>
      <t xml:space="preserve">)</t>
    </r>
  </si>
  <si>
    <t xml:space="preserve">INV-066</t>
  </si>
  <si>
    <t xml:space="preserve">Maekawa Shōji</t>
  </si>
  <si>
    <t xml:space="preserve">前川彰司</t>
  </si>
  <si>
    <t xml:space="preserve">Fukui</t>
  </si>
  <si>
    <t xml:space="preserve">Retrial acquittal (July or August 2025; sources differ)</t>
  </si>
  <si>
    <t xml:space="preserve">Media</t>
  </si>
  <si>
    <t xml:space="preserve">https://english.adnkronos.com/2026/04/28/man-acquitted-over-1986-murder-seeks-state-compensation/</t>
  </si>
  <si>
    <r>
      <rPr>
        <sz val="10"/>
        <rFont val="Arial"/>
        <family val="0"/>
        <charset val="1"/>
      </rPr>
      <t xml:space="preserve">Fukui schoolgirl murder (</t>
    </r>
    <r>
      <rPr>
        <sz val="10"/>
        <rFont val="WenQuanYi Zen Hei"/>
        <family val="2"/>
      </rPr>
      <t xml:space="preserve">福井女子中学生殺人事件</t>
    </r>
    <r>
      <rPr>
        <sz val="10"/>
        <rFont val="Arial"/>
        <family val="0"/>
        <charset val="1"/>
      </rPr>
      <t xml:space="preserve">)</t>
    </r>
  </si>
  <si>
    <t xml:space="preserve">INV-067</t>
  </si>
  <si>
    <t xml:space="preserve">Fuji Shigeko</t>
  </si>
  <si>
    <t xml:space="preserve">冨士茂子</t>
  </si>
  <si>
    <t xml:space="preserve">Tokushima</t>
  </si>
  <si>
    <t xml:space="preserve">Posthumous retrial acquittal</t>
  </si>
  <si>
    <r>
      <rPr>
        <sz val="10"/>
        <rFont val="Arial"/>
        <family val="0"/>
        <charset val="1"/>
      </rPr>
      <t xml:space="preserve">Tokushima radio shop case (</t>
    </r>
    <r>
      <rPr>
        <sz val="10"/>
        <rFont val="WenQuanYi Zen Hei"/>
        <family val="2"/>
      </rPr>
      <t xml:space="preserve">徳島ラジオ商殺し事件</t>
    </r>
    <r>
      <rPr>
        <sz val="10"/>
        <rFont val="Arial"/>
        <family val="0"/>
        <charset val="1"/>
      </rPr>
      <t xml:space="preserve">)</t>
    </r>
  </si>
  <si>
    <t xml:space="preserve">INV-068</t>
  </si>
  <si>
    <t xml:space="preserve">Umeda Yoshimi</t>
  </si>
  <si>
    <t xml:space="preserve">梅田義光</t>
  </si>
  <si>
    <t xml:space="preserve">Hokkaido</t>
  </si>
  <si>
    <r>
      <rPr>
        <sz val="10"/>
        <rFont val="Arial"/>
        <family val="0"/>
        <charset val="1"/>
      </rPr>
      <t xml:space="preserve">Umeda case (</t>
    </r>
    <r>
      <rPr>
        <sz val="10"/>
        <rFont val="WenQuanYi Zen Hei"/>
        <family val="2"/>
      </rPr>
      <t xml:space="preserve">梅田事件</t>
    </r>
    <r>
      <rPr>
        <sz val="10"/>
        <rFont val="Arial"/>
        <family val="0"/>
        <charset val="1"/>
      </rPr>
      <t xml:space="preserve">)</t>
    </r>
  </si>
  <si>
    <t xml:space="preserve">INV-069</t>
  </si>
  <si>
    <t xml:space="preserve">Su Chien-ho, Liu Bin-lang and Chuang Lin-hsun</t>
  </si>
  <si>
    <t xml:space="preserve">蘇建和、劉秉郎、莊林勳</t>
  </si>
  <si>
    <t xml:space="preserve">New Taipei (Xizhi)</t>
  </si>
  <si>
    <t xml:space="preserve">Robbery, rape and murder</t>
  </si>
  <si>
    <t xml:space="preserve">Retrial acquittal, final 31 August 2012</t>
  </si>
  <si>
    <t xml:space="preserve">TIP database; Taipei Times</t>
  </si>
  <si>
    <t xml:space="preserve">https://www.taipeitimes.com/News/front/archives/2012/09/01/2003541675</t>
  </si>
  <si>
    <t xml:space="preserve">Hsichih Trio; repeated retrials</t>
  </si>
  <si>
    <t xml:space="preserve">INV-070</t>
  </si>
  <si>
    <t xml:space="preserve">Hsu Tzu-chiang</t>
  </si>
  <si>
    <t xml:space="preserve">徐自強</t>
  </si>
  <si>
    <t xml:space="preserve">Kidnapping and murder</t>
  </si>
  <si>
    <t xml:space="preserve">Retrial acquittal (as listed)</t>
  </si>
  <si>
    <t xml:space="preserve">TIP database; Talking Taiwan list</t>
  </si>
  <si>
    <t xml:space="preserve">https://talkingtaiwan.com/?p=6809</t>
  </si>
  <si>
    <t xml:space="preserve">INV-071</t>
  </si>
  <si>
    <t xml:space="preserve">Cheng Hsing-tse</t>
  </si>
  <si>
    <t xml:space="preserve">鄭性澤</t>
  </si>
  <si>
    <t xml:space="preserve">Taichung</t>
  </si>
  <si>
    <t xml:space="preserve">Murder of a police officer</t>
  </si>
  <si>
    <t xml:space="preserve">Death row</t>
  </si>
  <si>
    <t xml:space="preserve">INV-072</t>
  </si>
  <si>
    <t xml:space="preserve">Hsieh Chih-hung</t>
  </si>
  <si>
    <t xml:space="preserve">謝志宏</t>
  </si>
  <si>
    <t xml:space="preserve">Tainan</t>
  </si>
  <si>
    <t xml:space="preserve">Listed as exonerated 2020 in one source; another reports retrial pending</t>
  </si>
  <si>
    <t xml:space="preserve">Sources conflict</t>
  </si>
  <si>
    <t xml:space="preserve">INV-073</t>
  </si>
  <si>
    <t xml:space="preserve">Wang Chi-cheng and Hung Shih-wei</t>
  </si>
  <si>
    <t xml:space="preserve">王淇政、洪世緯</t>
  </si>
  <si>
    <t xml:space="preserve">Retrial acquittal, 30 December 2021</t>
  </si>
  <si>
    <t xml:space="preserve">TIP database; media</t>
  </si>
  <si>
    <r>
      <rPr>
        <sz val="10"/>
        <rFont val="Arial"/>
        <family val="0"/>
        <charset val="1"/>
      </rPr>
      <t xml:space="preserve">Houfeng Bridge case (</t>
    </r>
    <r>
      <rPr>
        <sz val="10"/>
        <rFont val="WenQuanYi Zen Hei"/>
        <family val="2"/>
      </rPr>
      <t xml:space="preserve">后豐大橋案</t>
    </r>
    <r>
      <rPr>
        <sz val="10"/>
        <rFont val="Arial"/>
        <family val="0"/>
        <charset val="1"/>
      </rPr>
      <t xml:space="preserve">)</t>
    </r>
  </si>
  <si>
    <t xml:space="preserve">INV-074</t>
  </si>
  <si>
    <t xml:space="preserve">Wu Ming-feng</t>
  </si>
  <si>
    <t xml:space="preserve">吳明峰</t>
  </si>
  <si>
    <t xml:space="preserve">Retrial acquittal, High Court, November 2021</t>
  </si>
  <si>
    <t xml:space="preserve">https://www.mirrormedia.mg/story/20211118web003</t>
  </si>
  <si>
    <t xml:space="preserve">INV-075</t>
  </si>
  <si>
    <t xml:space="preserve">Su Yao-hui</t>
  </si>
  <si>
    <t xml:space="preserve">蘇耀輝</t>
  </si>
  <si>
    <r>
      <rPr>
        <sz val="10"/>
        <rFont val="Arial"/>
        <family val="0"/>
        <charset val="1"/>
      </rPr>
      <t xml:space="preserve">Retrial acquittal, 115</t>
    </r>
    <r>
      <rPr>
        <sz val="10"/>
        <rFont val="WenQuanYi Zen Hei"/>
        <family val="2"/>
      </rPr>
      <t xml:space="preserve">年度再字第</t>
    </r>
    <r>
      <rPr>
        <sz val="10"/>
        <rFont val="Arial"/>
        <family val="0"/>
        <charset val="1"/>
      </rPr>
      <t xml:space="preserve">1</t>
    </r>
    <r>
      <rPr>
        <sz val="10"/>
        <rFont val="WenQuanYi Zen Hei"/>
        <family val="2"/>
      </rPr>
      <t xml:space="preserve">號</t>
    </r>
  </si>
  <si>
    <t xml:space="preserve">TIP; media</t>
  </si>
  <si>
    <t xml:space="preserve">Retrial opened January 2026</t>
  </si>
  <si>
    <t xml:space="preserve">INV-076</t>
  </si>
  <si>
    <t xml:space="preserve">Lin Chin-kuei</t>
  </si>
  <si>
    <t xml:space="preserve">林金貴</t>
  </si>
  <si>
    <t xml:space="preserve">Kaohsiung</t>
  </si>
  <si>
    <t xml:space="preserve">Retrial acquittal 2018, reversed 2020, acquitted again on second remand</t>
  </si>
  <si>
    <t xml:space="preserve">TIP; PTS</t>
  </si>
  <si>
    <t xml:space="preserve">https://news.pts.org.tw/article/597576</t>
  </si>
  <si>
    <t xml:space="preserve">Check whether latest acquittal is final</t>
  </si>
  <si>
    <t xml:space="preserve">INV-077</t>
  </si>
  <si>
    <t xml:space="preserve">Chen Lung-chi</t>
  </si>
  <si>
    <t xml:space="preserve">陳龍綺</t>
  </si>
  <si>
    <t xml:space="preserve">Retrial acquittal; Y-STR DNA re-evaluated (Hampikian et al., 2017)</t>
  </si>
  <si>
    <t xml:space="preserve">Academic (Hampikian et al., 2017)</t>
  </si>
  <si>
    <t xml:space="preserve">https://doi.org/10.1016/j.fsigen.2017.08.004</t>
  </si>
  <si>
    <t xml:space="preserve">INV-078</t>
  </si>
  <si>
    <t xml:space="preserve">Kim Shin-hye</t>
  </si>
  <si>
    <t xml:space="preserve">김신혜</t>
  </si>
  <si>
    <t xml:space="preserve">Wando, South Jeolla</t>
  </si>
  <si>
    <t xml:space="preserve">Patricide</t>
  </si>
  <si>
    <t xml:space="preserve">Retrial acquittal, 6 January 2025</t>
  </si>
  <si>
    <t xml:space="preserve">https://www.koreajoongangdaily.com/korea/daughter-serving-life-sentence-for-fathers-murder-acquitted-after-24-years/12127561</t>
  </si>
  <si>
    <t xml:space="preserve">Retrial opened 2015</t>
  </si>
  <si>
    <t xml:space="preserve">INV-079</t>
  </si>
  <si>
    <t xml:space="preserve">Choi In-cheol and Jang Dong-ik</t>
  </si>
  <si>
    <t xml:space="preserve">최인철, 장동익</t>
  </si>
  <si>
    <t xml:space="preserve">Busan</t>
  </si>
  <si>
    <t xml:space="preserve">Retrial acquittal, Busan High Court; torture found</t>
  </si>
  <si>
    <t xml:space="preserve">https://www.koreajoongangdaily.com/korea/busan-court-exonerates-men-imprisoned-21-years-for-murder/10944681</t>
  </si>
  <si>
    <r>
      <rPr>
        <sz val="10"/>
        <rFont val="Arial"/>
        <family val="0"/>
        <charset val="1"/>
      </rPr>
      <t xml:space="preserve">Nakdong River case (</t>
    </r>
    <r>
      <rPr>
        <sz val="10"/>
        <rFont val="WenQuanYi Zen Hei"/>
        <family val="2"/>
      </rPr>
      <t xml:space="preserve">낙동강변 살인사건</t>
    </r>
    <r>
      <rPr>
        <sz val="10"/>
        <rFont val="Arial"/>
        <family val="0"/>
        <charset val="1"/>
      </rPr>
      <t xml:space="preserve">)</t>
    </r>
  </si>
  <si>
    <t xml:space="preserve">INV-080</t>
  </si>
  <si>
    <t xml:space="preserve">Mr Choi (anonymized in reports)</t>
  </si>
  <si>
    <t xml:space="preserve">Iksan, North Jeolla</t>
  </si>
  <si>
    <t xml:space="preserve">Murder of a taxi driver</t>
  </si>
  <si>
    <t xml:space="preserve">https://mobile.newsis.com/view/NISX20191011_0000796489</t>
  </si>
  <si>
    <r>
      <rPr>
        <sz val="10"/>
        <rFont val="Arial"/>
        <family val="0"/>
        <charset val="1"/>
      </rPr>
      <t xml:space="preserve">Yakchon intersection case (</t>
    </r>
    <r>
      <rPr>
        <sz val="10"/>
        <rFont val="WenQuanYi Zen Hei"/>
        <family val="2"/>
      </rPr>
      <t xml:space="preserve">약촌오거리 사건</t>
    </r>
    <r>
      <rPr>
        <sz val="10"/>
        <rFont val="Arial"/>
        <family val="0"/>
        <charset val="1"/>
      </rPr>
      <t xml:space="preserve">)</t>
    </r>
  </si>
  <si>
    <t xml:space="preserve">INV-081</t>
  </si>
  <si>
    <t xml:space="preserve">Three men (names to confirm)</t>
  </si>
  <si>
    <t xml:space="preserve">Wanju, North Jeolla</t>
  </si>
  <si>
    <r>
      <rPr>
        <sz val="10"/>
        <rFont val="Arial"/>
        <family val="0"/>
        <charset val="1"/>
      </rPr>
      <t xml:space="preserve">Samnye Nara Supermarket case (</t>
    </r>
    <r>
      <rPr>
        <sz val="10"/>
        <rFont val="WenQuanYi Zen Hei"/>
        <family val="2"/>
      </rPr>
      <t xml:space="preserve">삼례 나라슈퍼 사건</t>
    </r>
    <r>
      <rPr>
        <sz val="10"/>
        <rFont val="Arial"/>
        <family val="0"/>
        <charset val="1"/>
      </rPr>
      <t xml:space="preserve">)</t>
    </r>
  </si>
  <si>
    <t xml:space="preserve">INV-082</t>
  </si>
  <si>
    <t xml:space="preserve">Jeong Won-seop</t>
  </si>
  <si>
    <t xml:space="preserve">정원섭</t>
  </si>
  <si>
    <t xml:space="preserve">Chuncheon</t>
  </si>
  <si>
    <t xml:space="preserve">INV-083</t>
  </si>
  <si>
    <t xml:space="preserve">Cho Bong-am</t>
  </si>
  <si>
    <t xml:space="preserve">조봉암</t>
  </si>
  <si>
    <t xml:space="preserve">Espionage</t>
  </si>
  <si>
    <t xml:space="preserve">Posthumous retrial acquittal (as recalled; to confirm)</t>
  </si>
  <si>
    <t xml:space="preserve">Media; Truth and Reconciliation Commission</t>
  </si>
  <si>
    <t xml:space="preserve">Political case; executed 1959</t>
  </si>
  <si>
    <t xml:space="preserve">INV-084</t>
  </si>
  <si>
    <t xml:space="preserve">People's Revolutionary Party defendants (eight executed)</t>
  </si>
  <si>
    <t xml:space="preserve">인혁당 재건위</t>
  </si>
  <si>
    <t xml:space="preserve">National security offenses</t>
  </si>
  <si>
    <t xml:space="preserve">Political case; many similar commission-led retrials exist</t>
  </si>
  <si>
    <t xml:space="preserve">INV-085</t>
  </si>
  <si>
    <t xml:space="preserve">Huynh Van Nen</t>
  </si>
  <si>
    <t xml:space="preserve">Huỳnh Văn Nén</t>
  </si>
  <si>
    <t xml:space="preserve">Bình Thuận</t>
  </si>
  <si>
    <t xml:space="preserve">Released 2014; public apology 2015; compensation VND 10 billion 2017</t>
  </si>
  <si>
    <t xml:space="preserve">A?, B</t>
  </si>
  <si>
    <t xml:space="preserve">https://dtinews.dantri.com.vn/vietnam-today/innocent-man-gets-vnd10bn-compensation-payout-20170425110718760.htm</t>
  </si>
  <si>
    <t xml:space="preserve">Check the 2014-15 reopening decision</t>
  </si>
  <si>
    <t xml:space="preserve">INV-086</t>
  </si>
  <si>
    <t xml:space="preserve">Han Duc Long</t>
  </si>
  <si>
    <t xml:space="preserve">Hàn Đức Long</t>
  </si>
  <si>
    <t xml:space="preserve">Proceedings ended after repeated annulments (as recalled; to confirm)</t>
  </si>
  <si>
    <t xml:space="preserve">Check whether any conviction was final</t>
  </si>
  <si>
    <t xml:space="preserve">INV-087</t>
  </si>
  <si>
    <t xml:space="preserve">Amos Baranes</t>
  </si>
  <si>
    <t xml:space="preserve">עמוס ברנס</t>
  </si>
  <si>
    <t xml:space="preserve">Pardon c. 1985; retrial acquittal 2002; compensation 2010</t>
  </si>
  <si>
    <t xml:space="preserve">https://www.jpost.com/israel/state-compensates-convicted-killer/article-183757</t>
  </si>
  <si>
    <t xml:space="preserve">INV-088</t>
  </si>
  <si>
    <t xml:space="preserve">Gobi a/l Avedian</t>
  </si>
  <si>
    <t xml:space="preserve">Drug importation (capital)</t>
  </si>
  <si>
    <t xml:space="preserve">Court of Appeal reopened and substituted a lesser conviction (as recalled; to confirm)</t>
  </si>
  <si>
    <t xml:space="preserve">A (in part)?</t>
  </si>
  <si>
    <t xml:space="preserve">Media; eLitigation</t>
  </si>
  <si>
    <t xml:space="preserve">Partial correction: check whether in scope</t>
  </si>
  <si>
    <t xml:space="preserve">Total</t>
  </si>
  <si>
    <t xml:space="preserve">Candidates by finality check</t>
  </si>
  <si>
    <t xml:space="preserve">Record</t>
  </si>
  <si>
    <t xml:space="preserve">A. Case identification</t>
  </si>
  <si>
    <t xml:space="preserve">B. Individual(s)</t>
  </si>
  <si>
    <t xml:space="preserve">C. Offense, sentence and victim</t>
  </si>
  <si>
    <t xml:space="preserve">D. Finality</t>
  </si>
  <si>
    <t xml:space="preserve">E. Official post-conviction action</t>
  </si>
  <si>
    <t xml:space="preserve">F. Case summary</t>
  </si>
  <si>
    <t xml:space="preserve">G. Contributing factors</t>
  </si>
  <si>
    <t xml:space="preserve">H. Key triggers</t>
  </si>
  <si>
    <t xml:space="preserve">I. Inclusion verification</t>
  </si>
  <si>
    <t xml:space="preserve">J. Sources</t>
  </si>
  <si>
    <t xml:space="preserve">Other</t>
  </si>
  <si>
    <t xml:space="preserve">Coded in</t>
  </si>
  <si>
    <t xml:space="preserve">Inclusion status</t>
  </si>
  <si>
    <t xml:space="preserve">Inclusion line</t>
  </si>
  <si>
    <t xml:space="preserve">Case subtitle</t>
  </si>
  <si>
    <t xml:space="preserve">Case ID</t>
  </si>
  <si>
    <t xml:space="preserve">Jurisdiction ID</t>
  </si>
  <si>
    <t xml:space="preserve">Case Name (Original Language)</t>
  </si>
  <si>
    <t xml:space="preserve">Original Language</t>
  </si>
  <si>
    <t xml:space="preserve">Case Name (English)</t>
  </si>
  <si>
    <t xml:space="preserve">Entry Created / Last Updated</t>
  </si>
  <si>
    <t xml:space="preserve">Contributor Identity</t>
  </si>
  <si>
    <t xml:space="preserve">Number of individuals</t>
  </si>
  <si>
    <t xml:space="preserve">Individual Name (Original Language)</t>
  </si>
  <si>
    <t xml:space="preserve">Individual Name (Romanized / English)</t>
  </si>
  <si>
    <t xml:space="preserve">Gender</t>
  </si>
  <si>
    <t xml:space="preserve">Age at Conviction</t>
  </si>
  <si>
    <t xml:space="preserve">Executed</t>
  </si>
  <si>
    <t xml:space="preserve">Date of Execution</t>
  </si>
  <si>
    <t xml:space="preserve">Years Lost</t>
  </si>
  <si>
    <t xml:space="preserve">Years Lost: Approximation Flag</t>
  </si>
  <si>
    <t xml:space="preserve">Posthumous Case</t>
  </si>
  <si>
    <t xml:space="preserve">Offense Category</t>
  </si>
  <si>
    <t xml:space="preserve">Offense as Charged (Original Language)</t>
  </si>
  <si>
    <t xml:space="preserve">Offense as Charged (English Gloss)</t>
  </si>
  <si>
    <t xml:space="preserve">Sentence</t>
  </si>
  <si>
    <t xml:space="preserve">Court of Original Trial</t>
  </si>
  <si>
    <t xml:space="preserve">Evidence Relied Upon at Trial</t>
  </si>
  <si>
    <t xml:space="preserve">Number of Victims</t>
  </si>
  <si>
    <t xml:space="preserve">Victim Identifying Details</t>
  </si>
  <si>
    <t xml:space="preserve">Victim Age Group</t>
  </si>
  <si>
    <t xml:space="preserve">Victim–Defendant Relationship</t>
  </si>
  <si>
    <t xml:space="preserve">Alleged Victim Later Reappeared</t>
  </si>
  <si>
    <t xml:space="preserve">Actual Perpetrator Identified</t>
  </si>
  <si>
    <t xml:space="preserve">Subsequent Victims Attributed to Actual Perpetrator</t>
  </si>
  <si>
    <t xml:space="preserve">Victim-Related Note</t>
  </si>
  <si>
    <t xml:space="preserve">Finality Basis</t>
  </si>
  <si>
    <t xml:space="preserve">Date of Finality</t>
  </si>
  <si>
    <t xml:space="preserve">Finality Note</t>
  </si>
  <si>
    <t xml:space="preserve">Category A</t>
  </si>
  <si>
    <t xml:space="preserve">Category B</t>
  </si>
  <si>
    <t xml:space="preserve">Category C</t>
  </si>
  <si>
    <t xml:space="preserve">Number of actions</t>
  </si>
  <si>
    <t xml:space="preserve">Official actions (see sheet)</t>
  </si>
  <si>
    <t xml:space="preserve">Compensation: Compensation Awarded</t>
  </si>
  <si>
    <t xml:space="preserve">Compensation: Amount / Currency / Year</t>
  </si>
  <si>
    <t xml:space="preserve">Compensation: Issuing Authority</t>
  </si>
  <si>
    <t xml:space="preserve">Compensation: Decision Acknowledges Wrongful Conviction</t>
  </si>
  <si>
    <t xml:space="preserve">Background and Original Conviction</t>
  </si>
  <si>
    <t xml:space="preserve">Emergence of Grounds for Correction</t>
  </si>
  <si>
    <t xml:space="preserve">Path to Official Action</t>
  </si>
  <si>
    <t xml:space="preserve">1 False or coerced confession: marked</t>
  </si>
  <si>
    <t xml:space="preserve">1 False or coerced confession: note</t>
  </si>
  <si>
    <t xml:space="preserve">1a Torture or physical coercion: marked</t>
  </si>
  <si>
    <t xml:space="preserve">1a Torture or physical coercion: note</t>
  </si>
  <si>
    <t xml:space="preserve">1b Prolonged detention or questioning without counsel: marked</t>
  </si>
  <si>
    <t xml:space="preserve">1b Prolonged detention or questioning without counsel: note</t>
  </si>
  <si>
    <t xml:space="preserve">1c Deception, inducement, or threats: marked</t>
  </si>
  <si>
    <t xml:space="preserve">1c Deception, inducement, or threats: note</t>
  </si>
  <si>
    <t xml:space="preserve">2 Eyewitness misidentification: marked</t>
  </si>
  <si>
    <t xml:space="preserve">2 Eyewitness misidentification: note</t>
  </si>
  <si>
    <t xml:space="preserve">2a Suggestive identification procedure: marked</t>
  </si>
  <si>
    <t xml:space="preserve">2a Suggestive identification procedure: note</t>
  </si>
  <si>
    <t xml:space="preserve">2b Identification treated as decisive despite inconsistency or weak conditions: marked</t>
  </si>
  <si>
    <t xml:space="preserve">2b Identification treated as decisive despite inconsistency or weak conditions: note</t>
  </si>
  <si>
    <t xml:space="preserve">3 Forensic or evidentiary error: marked</t>
  </si>
  <si>
    <t xml:space="preserve">3 Forensic or evidentiary error: note</t>
  </si>
  <si>
    <t xml:space="preserve">4 Investigative or prosecutorial misconduct: marked</t>
  </si>
  <si>
    <t xml:space="preserve">4 Investigative or prosecutorial misconduct: note</t>
  </si>
  <si>
    <t xml:space="preserve">4a Suppression of exculpatory evidence: marked</t>
  </si>
  <si>
    <t xml:space="preserve">4a Suppression of exculpatory evidence: note</t>
  </si>
  <si>
    <t xml:space="preserve">4b Failure to act on exculpatory developments: marked</t>
  </si>
  <si>
    <t xml:space="preserve">4b Failure to act on exculpatory developments: note</t>
  </si>
  <si>
    <t xml:space="preserve">4c Fabrication of evidence: marked</t>
  </si>
  <si>
    <t xml:space="preserve">4c Fabrication of evidence: note</t>
  </si>
  <si>
    <t xml:space="preserve">5 Inadequate defense: marked</t>
  </si>
  <si>
    <t xml:space="preserve">5 Inadequate defense: note</t>
  </si>
  <si>
    <t xml:space="preserve">6 Perjury or false accusation: marked</t>
  </si>
  <si>
    <t xml:space="preserve">6 Perjury or false accusation: note</t>
  </si>
  <si>
    <t xml:space="preserve">7 Systemic or structural issue: marked</t>
  </si>
  <si>
    <t xml:space="preserve">7 Systemic or structural issue: note</t>
  </si>
  <si>
    <t xml:space="preserve">8 Other contributing factor: marked</t>
  </si>
  <si>
    <t xml:space="preserve">8 Other contributing factor: note</t>
  </si>
  <si>
    <t xml:space="preserve">Factor notes</t>
  </si>
  <si>
    <t xml:space="preserve">Real perpetrator identified: marked</t>
  </si>
  <si>
    <t xml:space="preserve">Real perpetrator identified: note</t>
  </si>
  <si>
    <t xml:space="preserve">Confession by another person: marked</t>
  </si>
  <si>
    <t xml:space="preserve">Confession by another person: note</t>
  </si>
  <si>
    <t xml:space="preserve">New or re-examined forensic evidence: marked</t>
  </si>
  <si>
    <t xml:space="preserve">New or re-examined forensic evidence: note</t>
  </si>
  <si>
    <t xml:space="preserve">Recantation of testimony: marked</t>
  </si>
  <si>
    <t xml:space="preserve">Recantation of testimony: note</t>
  </si>
  <si>
    <t xml:space="preserve">Newly disclosed or discovered evidence: marked</t>
  </si>
  <si>
    <t xml:space="preserve">Newly disclosed or discovered evidence: note</t>
  </si>
  <si>
    <t xml:space="preserve">Sustained petitioning or family advocacy: marked</t>
  </si>
  <si>
    <t xml:space="preserve">Sustained petitioning or family advocacy: note</t>
  </si>
  <si>
    <t xml:space="preserve">Involvement of an innocence organization or counsel: marked</t>
  </si>
  <si>
    <t xml:space="preserve">Involvement of an innocence organization or counsel: note</t>
  </si>
  <si>
    <t xml:space="preserve">Media or public attention: marked</t>
  </si>
  <si>
    <t xml:space="preserve">Media or public attention: note</t>
  </si>
  <si>
    <t xml:space="preserve">Official review initiative: marked</t>
  </si>
  <si>
    <t xml:space="preserve">Official review initiative: note</t>
  </si>
  <si>
    <t xml:space="preserve">Other (specify): marked</t>
  </si>
  <si>
    <t xml:space="preserve">Other (specify): note</t>
  </si>
  <si>
    <t xml:space="preserve">Criminal offence: status</t>
  </si>
  <si>
    <t xml:space="preserve">Criminal offence: basis</t>
  </si>
  <si>
    <t xml:space="preserve">Finality: status</t>
  </si>
  <si>
    <t xml:space="preserve">Finality: basis</t>
  </si>
  <si>
    <t xml:space="preserve">Official post-conviction action: status</t>
  </si>
  <si>
    <t xml:space="preserve">Official post-conviction action: basis</t>
  </si>
  <si>
    <t xml:space="preserve">Judicial Reversal (A): status</t>
  </si>
  <si>
    <t xml:space="preserve">Judicial Reversal (A): basis</t>
  </si>
  <si>
    <t xml:space="preserve">Formal Acknowledgment of Error (B): status</t>
  </si>
  <si>
    <t xml:space="preserve">Formal Acknowledgment of Error (B): basis</t>
  </si>
  <si>
    <t xml:space="preserve">Innocence-Related Relief (C): status</t>
  </si>
  <si>
    <t xml:space="preserve">Innocence-Related Relief (C): basis</t>
  </si>
  <si>
    <t xml:space="preserve">Documentation: status</t>
  </si>
  <si>
    <t xml:space="preserve">Documentation: basis</t>
  </si>
  <si>
    <t xml:space="preserve">Inclusion determination: status</t>
  </si>
  <si>
    <t xml:space="preserve">Inclusion determination: basis</t>
  </si>
  <si>
    <t xml:space="preserve">Codebook version at coding: status</t>
  </si>
  <si>
    <t xml:space="preserve">Codebook version at coding: basis</t>
  </si>
  <si>
    <t xml:space="preserve">Number of sources (see sheet)</t>
  </si>
  <si>
    <t xml:space="preserve">Other notes in the coded entry</t>
  </si>
  <si>
    <t xml:space="preserve">Supplement B (paper)</t>
  </si>
  <si>
    <t xml:space="preserve">INCLUDED</t>
  </si>
  <si>
    <t xml:space="preserve">Inclusion: INCLUDED, Categories A and B · Documentation: PASS</t>
  </si>
  <si>
    <t xml:space="preserve">Intentional homicide and rape · China (Hebei) · Final 1995 · Retrial acquittal 2016</t>
  </si>
  <si>
    <t xml:space="preserve">ARWC-CHN-001</t>
  </si>
  <si>
    <t xml:space="preserve">JUR-CHN-01</t>
  </si>
  <si>
    <t xml:space="preserve">聂树斌故意杀人、强奸妇女案</t>
  </si>
  <si>
    <t xml:space="preserve">Chinese (Simplified)</t>
  </si>
  <si>
    <t xml:space="preserve">Nie Shubin intentional homicide and rape case</t>
  </si>
  <si>
    <t xml:space="preserve">2026 / 2026 (Codebook v1.0)</t>
  </si>
  <si>
    <t xml:space="preserve">Prepared by the authors for illustrative purposes</t>
  </si>
  <si>
    <t xml:space="preserve">Male</t>
  </si>
  <si>
    <t xml:space="preserve">20</t>
  </si>
  <si>
    <t xml:space="preserve">Yes</t>
  </si>
  <si>
    <t xml:space="preserve">Year: 1995 | Month: 04 | Day: 27 | Precision: day</t>
  </si>
  <si>
    <t xml:space="preserve">0.6</t>
  </si>
  <si>
    <t xml:space="preserve">Yes (detention 23 September 1994 to execution 27 April 1995)</t>
  </si>
  <si>
    <t xml:space="preserve">Yes (corrective action 2016, twenty-one years after execution)</t>
  </si>
  <si>
    <t xml:space="preserve">Homicide; sexual offense</t>
  </si>
  <si>
    <t xml:space="preserve">故意杀人；强奸妇女</t>
  </si>
  <si>
    <t xml:space="preserve">Intentional homicide; rape</t>
  </si>
  <si>
    <t xml:space="preserve">Death (immediate)</t>
  </si>
  <si>
    <r>
      <rPr>
        <sz val="10"/>
        <rFont val="Arial"/>
        <family val="0"/>
        <charset val="1"/>
      </rPr>
      <t xml:space="preserve">Shijiazhuang City Intermediate People's Court (</t>
    </r>
    <r>
      <rPr>
        <sz val="10"/>
        <rFont val="WenQuanYi Zen Hei"/>
        <family val="2"/>
      </rPr>
      <t xml:space="preserve">石家庄市中级人民法院</t>
    </r>
    <r>
      <rPr>
        <sz val="10"/>
        <rFont val="Arial"/>
        <family val="0"/>
        <charset val="1"/>
      </rPr>
      <t xml:space="preserve">); second instance: Hebei Higher People's Court (</t>
    </r>
    <r>
      <rPr>
        <sz val="10"/>
        <rFont val="WenQuanYi Zen Hei"/>
        <family val="2"/>
      </rPr>
      <t xml:space="preserve">河北省高级人民法院</t>
    </r>
    <r>
      <rPr>
        <sz val="10"/>
        <rFont val="Arial"/>
        <family val="0"/>
        <charset val="1"/>
      </rPr>
      <t xml:space="preserve">)</t>
    </r>
  </si>
  <si>
    <t xml:space="preserve">Confession (principal evidence); no independent forensic evidence linked the defendant to the crime</t>
  </si>
  <si>
    <t xml:space="preserve">1</t>
  </si>
  <si>
    <t xml:space="preserve">[Internal field — recorded; not displayed publicly]</t>
  </si>
  <si>
    <t xml:space="preserve">Adult</t>
  </si>
  <si>
    <t xml:space="preserve">Unknown</t>
  </si>
  <si>
    <t xml:space="preserve">No</t>
  </si>
  <si>
    <t xml:space="preserve">Yes — the person who confessed was convicted of multiple rapes and murders committed in the same period</t>
  </si>
  <si>
    <t xml:space="preserve">One adult female victim, identified in public case records</t>
  </si>
  <si>
    <t xml:space="preserve">Ordinary appeals completed (second-instance judgment issued)</t>
  </si>
  <si>
    <t xml:space="preserve">Year: 1995 | Month: — | Day: — | Precision: year</t>
  </si>
  <si>
    <t xml:space="preserve">The Hebei Higher People's Court affirmed the death sentence at second instance; execution on 27 April 1995 confirms that the judgment had entered legal effect.</t>
  </si>
  <si>
    <t xml:space="preserve">Action 1 — Retrial acquittal (Category A) · Year: 2016 | Month: 12 | Day: 02 | Precision: day
Action 2 — State compensation decision (Category B) · Year: 2017 | Precision: year</t>
  </si>
  <si>
    <t xml:space="preserve">2,684,600 / CNY / 2017</t>
  </si>
  <si>
    <t xml:space="preserve">Hebei Higher People's Court (Compensation Committee)</t>
  </si>
  <si>
    <t xml:space="preserve">Yes (recorded as Category B, Action 2)</t>
  </si>
  <si>
    <t xml:space="preserve">On 5 August 1994, the body of an adult woman was found in a cornfield in the western suburbs of Shijiazhuang, Hebei Province; she had been raped and murdered. Nie Shubin, then 20, was detained on 23 September 1994 and convicted of intentional homicide and rape by the Shijiazhuang City Intermediate People's Court; the Hebei Higher People's Court affirmed the death sentence at second instance. He was executed on 27 April 1995, approximately eight months after detention. The conviction rested principally on his confession; no independent forensic evidence linked him to the crime. Nie retracted the confession at trial, stating it had been obtained through coercion during six days of detention without access to counsel; the retraction was not accepted and no investigation into the alleged coercion was conducted.</t>
  </si>
  <si>
    <r>
      <rPr>
        <sz val="10"/>
        <rFont val="Arial"/>
        <family val="0"/>
        <charset val="1"/>
      </rPr>
      <t xml:space="preserve">In 2005, Wang Shujin (</t>
    </r>
    <r>
      <rPr>
        <sz val="10"/>
        <rFont val="WenQuanYi Zen Hei"/>
        <family val="2"/>
      </rPr>
      <t xml:space="preserve">王书金</t>
    </r>
    <r>
      <rPr>
        <sz val="10"/>
        <rFont val="Arial"/>
        <family val="0"/>
        <charset val="1"/>
      </rPr>
      <t xml:space="preserve">) was arrested for a series of rapes and murders and confessed, unprompted, to the 1994 offense, providing non-public details consistent with the crime scene. He maintained the confession and sought to be convicted of the offense in court. Prosecutors declined to charge him with it, citing Nie Shubin's existing conviction; the resulting deadlock lasted eleven years.</t>
    </r>
  </si>
  <si>
    <r>
      <rPr>
        <sz val="10"/>
        <rFont val="Arial"/>
        <family val="0"/>
        <charset val="1"/>
      </rPr>
      <t xml:space="preserve">Nie Shubin's mother, Zhang Huanzhi (</t>
    </r>
    <r>
      <rPr>
        <sz val="10"/>
        <rFont val="WenQuanYi Zen Hei"/>
        <family val="2"/>
      </rPr>
      <t xml:space="preserve">张换枝</t>
    </r>
    <r>
      <rPr>
        <sz val="10"/>
        <rFont val="Arial"/>
        <family val="0"/>
        <charset val="1"/>
      </rPr>
      <t xml:space="preserve">), petitioned for reinvestigation for more than a decade, with growing public attention. On 28 April 2016 the SPC designated the case for retrial under the trial supervision procedure, and on 2 December 2016 it acquitted Nie Shubin on all charges, finding the evidence insufficient to exclude reasonable doubt. State compensation of RMB 2,684,600 was subsequently awarded to his parents. The case is cited in official and academic commentary as a landmark posthumous correction and a catalyst for reform of retrial procedure and pre-trial detention practice.</t>
    </r>
  </si>
  <si>
    <t xml:space="preserve">Conviction rested principally on the confession; retracted at trial; the retrial judgment found the evidence, including the confession, insufficient to support guilt</t>
  </si>
  <si>
    <t xml:space="preserve">Physical abuse alleged in family and documented accounts; no interrogation recording existed by which the allegations could be verified (cross-coded to factor 4)</t>
  </si>
  <si>
    <t xml:space="preserve">Six days of detention without access to counsel before the confession</t>
  </si>
  <si>
    <t xml:space="preserve">See subcategory below</t>
  </si>
  <si>
    <t xml:space="preserve">Prosecutors declined to charge the confessing perpetrator with the offense, citing the existing conviction; documented in court records; prolonged the wrongful conviction for eleven years</t>
  </si>
  <si>
    <t xml:space="preserve">Confession not successfully contested at trial; limited pre-trial access to counsel and restricted disclosure under the procedure of the period</t>
  </si>
  <si>
    <t xml:space="preserve">Mid-1990s procedural context: confession-dependent investigation, pre-trial detention practices, and institutional pressure for case resolution (He, 2016; Zhong &amp; Dai, 2019)</t>
  </si>
  <si>
    <t xml:space="preserve">Wang Shujin, 2005</t>
  </si>
  <si>
    <t xml:space="preserve">Wang Shujin's detailed, non-public-fact confession</t>
  </si>
  <si>
    <t xml:space="preserve">Zhang Huanzhi, over more than a decade</t>
  </si>
  <si>
    <t xml:space="preserve">Sustained national coverage preceding the 2016 retrial designation</t>
  </si>
  <si>
    <t xml:space="preserve">PASS</t>
  </si>
  <si>
    <t xml:space="preserve">Intentional homicide and rape; criminal conviction within scope</t>
  </si>
  <si>
    <t xml:space="preserve">Final under the two-instance system before the corrective action; execution confirms entry into legal effect</t>
  </si>
  <si>
    <t xml:space="preserve">SPC retrial acquittal, 2 December 2016</t>
  </si>
  <si>
    <t xml:space="preserve">MARKED</t>
  </si>
  <si>
    <t xml:space="preserve">Retrial acquittal reversed the conviction in its entirety</t>
  </si>
  <si>
    <t xml:space="preserve">State compensation decision expressly premised on wrongful conviction</t>
  </si>
  <si>
    <t xml:space="preserve">NOT MARKED</t>
  </si>
  <si>
    <t xml:space="preserve">No distinct relief instrument beyond the actions above</t>
  </si>
  <si>
    <t xml:space="preserve">Primary official sources listed in Section J</t>
  </si>
  <si>
    <t xml:space="preserve">Marked under Categories A and B</t>
  </si>
  <si>
    <t xml:space="preserve">v0.3</t>
  </si>
  <si>
    <t xml:space="preserve">—</t>
  </si>
  <si>
    <t xml:space="preserve">Entered exactly as published in Supplement B of the accepted manuscript (codebook version at coding: v0.3). The website record ARWC-CHN-0001 differs in places (compensation RMB 2,681,399.10; finality dated 25 April 1995; factor coding). The first coded set flags this entry for re-checking against the factor threshold and the rule on identifying another person as the offender.</t>
  </si>
  <si>
    <t xml:space="preserve">First set</t>
  </si>
  <si>
    <t xml:space="preserve">Inclusion: INCLUDED, Category A · Documentation: PASS · Verify with: Nishi</t>
  </si>
  <si>
    <t xml:space="preserve">Unlawful entry, robbery-homicide and arson · Japan (Shizuoka) · Final 1980 · Retrial acquittal 2024</t>
  </si>
  <si>
    <t xml:space="preserve">JUR-JPN-01</t>
  </si>
  <si>
    <t xml:space="preserve">袴田事件</t>
  </si>
  <si>
    <t xml:space="preserve">Japanese</t>
  </si>
  <si>
    <t xml:space="preserve">Hakamada case</t>
  </si>
  <si>
    <t xml:space="preserve">2026-09-30 / 2026-10-01 (Codebook v1.0; source-checked)</t>
  </si>
  <si>
    <t xml:space="preserve">[Internal field — not displayed]</t>
  </si>
  <si>
    <t xml:space="preserve">袴田巌 (also written 袴田巖)</t>
  </si>
  <si>
    <t xml:space="preserve">32 (first-instance judgment, 1968-09-11); reported as 30 at his arrest in 1966 and 88 at his acquittal in 2024 [verify: date of birth]</t>
  </si>
  <si>
    <t xml:space="preserve">47.6</t>
  </si>
  <si>
    <t xml:space="preserve">No (detained 1966-08-18; released 2014-03-27; 17,389 days counting both ends)</t>
  </si>
  <si>
    <t xml:space="preserve">Homicide; robbery; arson; other (unlawful entry)</t>
  </si>
  <si>
    <t xml:space="preserve">住居侵入、強盗殺人、放火</t>
  </si>
  <si>
    <t xml:space="preserve">Unlawful entry into a dwelling; robbery-homicide; arson</t>
  </si>
  <si>
    <t xml:space="preserve">Death (immediate); held under the final death sentence until his release in 2014 (D9)</t>
  </si>
  <si>
    <r>
      <rPr>
        <sz val="10"/>
        <rFont val="Arial"/>
        <family val="0"/>
        <charset val="1"/>
      </rPr>
      <t xml:space="preserve">Shizuoka District Court (</t>
    </r>
    <r>
      <rPr>
        <sz val="10"/>
        <rFont val="WenQuanYi Zen Hei"/>
        <family val="2"/>
      </rPr>
      <t xml:space="preserve">静岡地方裁判所</t>
    </r>
    <r>
      <rPr>
        <sz val="10"/>
        <rFont val="Arial"/>
        <family val="0"/>
        <charset val="1"/>
      </rPr>
      <t xml:space="preserve">); appeal: Tokyo High Court (</t>
    </r>
    <r>
      <rPr>
        <sz val="10"/>
        <rFont val="WenQuanYi Zen Hei"/>
        <family val="2"/>
      </rPr>
      <t xml:space="preserve">東京高等裁判所</t>
    </r>
    <r>
      <rPr>
        <sz val="10"/>
        <rFont val="Arial"/>
        <family val="0"/>
        <charset val="1"/>
      </rPr>
      <t xml:space="preserve">); final appeal: Supreme Court (</t>
    </r>
    <r>
      <rPr>
        <sz val="10"/>
        <rFont val="WenQuanYi Zen Hei"/>
        <family val="2"/>
      </rPr>
      <t xml:space="preserve">最高裁判所</t>
    </r>
    <r>
      <rPr>
        <sz val="10"/>
        <rFont val="Arial"/>
        <family val="0"/>
        <charset val="1"/>
      </rPr>
      <t xml:space="preserve">)</t>
    </r>
  </si>
  <si>
    <t xml:space="preserve">Confession (one prosecutor’s statement of 1966-09-09 admitted; the other 44 of 45 statements excluded); forensic and physical evidence (five bloodstained items of clothing found in a miso tank on 1967-08-31; blood typing); other (a trouser fragment seized at his family home)</t>
  </si>
  <si>
    <t xml:space="preserve">4</t>
  </si>
  <si>
    <t xml:space="preserve">[Internal field — recorded separately; not displayed]</t>
  </si>
  <si>
    <t xml:space="preserve">Mixed (two adults, two minors)</t>
  </si>
  <si>
    <t xml:space="preserve">Acquaintance (the family of the senior managing director of the company that employed him)</t>
  </si>
  <si>
    <t xml:space="preserve">Four members of one household stabbed and the house set on fire, 1966-06-30 (retrial judgment).</t>
  </si>
  <si>
    <t xml:space="preserve">Ordinary appeals completed (Supreme Court judgment dismissing the final appeal; motion to correct the judgment dismissed)</t>
  </si>
  <si>
    <t xml:space="preserve">Year: 1980 | Month: 12 | Day: 12 | Precision: day</t>
  </si>
  <si>
    <t xml:space="preserve">The Supreme Court dismissed the final appeal on 1980-11-19 and then the motion to correct its judgment; the death sentence became final on 1980-12-12 (as recited in the 2024 retrial judgment).</t>
  </si>
  <si>
    <t xml:space="preserve">Action 1 — Retrial acquittal (Category A) · 2024-09-26 (precision: day)</t>
  </si>
  <si>
    <t xml:space="preserve">217,362,500 / JPY / 2025 — computed at the statutory maximum of JPY 12,500 a day for 17,389 days; reported as about JPY 217 million, a record (Kyodo) [verify: exact figure]</t>
  </si>
  <si>
    <r>
      <rPr>
        <sz val="10"/>
        <rFont val="Arial"/>
        <family val="0"/>
        <charset val="1"/>
      </rPr>
      <t xml:space="preserve">Shizuoka District Court — criminal compensation decision (</t>
    </r>
    <r>
      <rPr>
        <sz val="10"/>
        <rFont val="WenQuanYi Zen Hei"/>
        <family val="2"/>
      </rPr>
      <t xml:space="preserve">刑事補償決定</t>
    </r>
    <r>
      <rPr>
        <sz val="10"/>
        <rFont val="Arial"/>
        <family val="0"/>
        <charset val="1"/>
      </rPr>
      <t xml:space="preserve">) under the Criminal Compensation Act, 2025-03-24</t>
    </r>
  </si>
  <si>
    <t xml:space="preserve">No — criminal compensation follows the acquittal as an entitlement and does not itself pronounce on the conviction (D1)</t>
  </si>
  <si>
    <t xml:space="preserve">In the early hours of 30 June 1966 the house of the senior managing director of a miso-manufacturing company in Shimizu (now part of Shizuoka City) burned down, and four members of his family were found stabbed to death. Hakamada Iwao, a 30-year-old former professional boxer who worked at the company and lived in its factory dormitory, was arrested on 18 August 1966. After questioning that averaged about 12 hours a day, he confessed to police on 6 September and to a prosecutor on 9 September, and was indicted that day for unlawful entry, robbery-homicide and arson. He pleaded not guilty at the first hearing on 15 November. On 31 August 1967, during the trial, five bloodstained items of clothing were found in a miso tank at the factory, and the prosecution presented them as the clothes worn in the crime. On 11 September 1968 the Shizuoka District Court sentenced him to death. Of 45 confession statements it admitted only the prosecutor’s statement of 9 September 1966. It excluded the 28 police statements as products of long, coercive and intimidating interrogation, and 16 statements prosecutors took after the indictment as improperly obtained. The Tokyo High Court dismissed his appeal on 18 May 1976, and the sentence became final on 12 December 1980 after the Supreme Court dismissed the final appeal.</t>
  </si>
  <si>
    <t xml:space="preserve">A first retrial request, filed in 1981, was rejected by the Shizuoka District Court in 1994 and finally by the Supreme Court on 24 March 2008. His elder sister filed a second request on 25 April 2008. During it the prosecution disclosed evidence not produced at trial: colour photographs of the clothing in 2010 and, after the retrial order, photograph negatives in 2014 and recordings of the 1966 interrogations in 2015 (as listed by the defence) [verify: official source]. On 27 March 2014 the Shizuoka District Court ordered a retrial on new evidence that included DNA analyses and experiments with clothing kept in miso, suspended the death sentence and his detention, and released him after 47 years and 7 months in custody [verify: the order’s wording on fabrication]. The prosecution appealed. The Tokyo High Court set the order aside in 2018, finding the DNA evidence of low value; in 2020 the Supreme Court agreed on that point but sent the case back to examine whether bloodstains could stay red after more than a year in miso. On 13 March 2023 the Tokyo High Court upheld the retrial order on the bloodstain evidence [verify: its wording on who hid the clothing], and the order became final on 21 March 2023.</t>
  </si>
  <si>
    <t xml:space="preserve">The retrial opened on 27 October 2023. The prosecution again argued for guilt and, at the fifteenth hearing on 22 May 2024, asked for the death penalty. On 26 September 2024 the court acquitted him. It held three items of evidence to have been fabricated by the investigating authorities: the prosecutor’s confession statement, which it treated as a confession obtained by compulsion, torture or threat under article 319(1) of the Code of Criminal Procedure and as in substance fabricated; the five items of clothing, which had been processed, including by applying blood, and hidden in the tank shortly before they were found; and the trouser fragment. Without them, the evidence did not show that he was the offender. The prosecution waived its right of appeal and the acquittal became final on 9 October 2024, although the Prosecutor-General’s statement of the previous day disputed the fabrication findings. On 24 March 2025 the court awarded criminal compensation at the statutory daily maximum. He was 88 when acquitted.</t>
  </si>
  <si>
    <r>
      <rPr>
        <sz val="10"/>
        <rFont val="Arial"/>
        <family val="0"/>
        <charset val="1"/>
      </rPr>
      <t xml:space="preserve">The retrial court excluded the prosecutor’s confession statement as a confession obtained by compulsion, torture or threat (</t>
    </r>
    <r>
      <rPr>
        <sz val="10"/>
        <rFont val="WenQuanYi Zen Hei"/>
        <family val="2"/>
      </rPr>
      <t xml:space="preserve">強制、拷問又は脅迫による自白</t>
    </r>
    <r>
      <rPr>
        <sz val="10"/>
        <rFont val="Arial"/>
        <family val="0"/>
        <charset val="1"/>
      </rPr>
      <t xml:space="preserve">, Code of Criminal Procedure art. 319(1)) and held it in substance fabricated by the investigating authorities. The first-instance court had already excluded 44 of the 45 statements in 1968.</t>
    </r>
  </si>
  <si>
    <t xml:space="preserve">The retrial court applied art. 319(1) (compulsion, torture or threat) to the statement.</t>
  </si>
  <si>
    <t xml:space="preserve">Questioning averaged about 12 hours a day over the 19 days before he confessed, and he met his lawyer three times, for about 40 minutes in all (retrial judgment).</t>
  </si>
  <si>
    <t xml:space="preserve">The clothing and the fragment were found fabricated, not misanalysed; recorded under 4c.</t>
  </si>
  <si>
    <t xml:space="preserve">See 1a and 4c.</t>
  </si>
  <si>
    <t xml:space="preserve">Colour photographs, negatives and interrogation tapes were first disclosed between 2010 and 2015; no finding of suppression located.</t>
  </si>
  <si>
    <t xml:space="preserve">The court found that the investigating authorities processed the five items of clothing, including by applying blood, and hid them in the tank shortly before their discovery; that the trouser fragment was fabricated; and that the confession statement was in substance fabricated (retrial judgment).</t>
  </si>
  <si>
    <t xml:space="preserve">Limited access to counsel is recorded under 1b.</t>
  </si>
  <si>
    <t xml:space="preserve">The Code of Criminal Procedure then had no rules on evidence disclosure in retrial proceedings and let prosecutors appeal a retrial order (art. 450); the 2014 order took nine years to become final. Both points were changed by Act No. 67 of 2026 (Appendix A).</t>
  </si>
  <si>
    <t xml:space="preserve">DNA analyses and miso experiments (2014 order); bloodstain-colour experiments after the 2020 remand, on which the 2023 decision rested.</t>
  </si>
  <si>
    <t xml:space="preserve">Colour photographs (2010), negatives (2014) and interrogation recordings (2015) disclosed by the prosecution, as listed by the defence [verify: official source].</t>
  </si>
  <si>
    <t xml:space="preserve">Second retrial request filed by his elder sister (2008).</t>
  </si>
  <si>
    <t xml:space="preserve">Defence team through both retrial requests (1981–2023).</t>
  </si>
  <si>
    <t xml:space="preserve">No source ties it to the correction (D3).</t>
  </si>
  <si>
    <t xml:space="preserve">Unlawful entry, robbery-homicide and arson</t>
  </si>
  <si>
    <t xml:space="preserve">Final on 1980-12-12 after the Supreme Court dismissed the final appeal; retrial lies only against a final conviction</t>
  </si>
  <si>
    <t xml:space="preserve">Retrial acquittal, 2024-09-26; final 2024-10-09</t>
  </si>
  <si>
    <t xml:space="preserve">The retrial acquittal removed the conviction</t>
  </si>
  <si>
    <t xml:space="preserve">The Prosecutor-General disputed the fabrication findings; criminal compensation is not coded B (D1)</t>
  </si>
  <si>
    <t xml:space="preserve">No separate relief instrument</t>
  </si>
  <si>
    <t xml:space="preserve">Retrial judgment and 2014 retrial order published on courts.go.jp; compensation decision as reported</t>
  </si>
  <si>
    <t xml:space="preserve">Marked under Category A</t>
  </si>
  <si>
    <t xml:space="preserve">v1.0</t>
  </si>
  <si>
    <t xml:space="preserve">JUR-JPN-01 (new; draft in Appendix A).</t>
  </si>
  <si>
    <t xml:space="preserve">Inclusion: INCLUDED, Categories A and B · Documentation: PASS · Verify with: Nishi</t>
  </si>
  <si>
    <t xml:space="preserve">Kidnapping, murder and abandonment of a corpse · Japan (Tochigi) · Final 2000 · Retrial acquittal 2010</t>
  </si>
  <si>
    <t xml:space="preserve">足利事件</t>
  </si>
  <si>
    <t xml:space="preserve">46 (first-instance judgment, 1993-07-07), estimated from ages reported in 2009–2010; 47 if born between 24 June and 7 July 1946 [verify: date of birth]</t>
  </si>
  <si>
    <t xml:space="preserve">17.5</t>
  </si>
  <si>
    <t xml:space="preserve">No (arrested 1991-12-02; released 2009-06-04; 6,395 days counting both ends, the figure reported for the compensation decision)</t>
  </si>
  <si>
    <t xml:space="preserve">Homicide; kidnapping or abduction; other (abandonment of a corpse)</t>
  </si>
  <si>
    <t xml:space="preserve">わいせつ誘拐、殺人、死体遺棄</t>
  </si>
  <si>
    <t xml:space="preserve">Kidnapping for an indecent purpose; murder; abandonment of a corpse</t>
  </si>
  <si>
    <r>
      <rPr>
        <sz val="10"/>
        <rFont val="Arial"/>
        <family val="0"/>
        <charset val="1"/>
      </rPr>
      <t xml:space="preserve">Life imprisonment (</t>
    </r>
    <r>
      <rPr>
        <sz val="10"/>
        <rFont val="WenQuanYi Zen Hei"/>
        <family val="2"/>
      </rPr>
      <t xml:space="preserve">無期懲役</t>
    </r>
    <r>
      <rPr>
        <sz val="10"/>
        <rFont val="Arial"/>
        <family val="0"/>
        <charset val="1"/>
      </rPr>
      <t xml:space="preserve">)</t>
    </r>
  </si>
  <si>
    <r>
      <rPr>
        <sz val="10"/>
        <rFont val="Arial"/>
        <family val="0"/>
        <charset val="1"/>
      </rPr>
      <t xml:space="preserve">Utsunomiya District Court (</t>
    </r>
    <r>
      <rPr>
        <sz val="10"/>
        <rFont val="WenQuanYi Zen Hei"/>
        <family val="2"/>
      </rPr>
      <t xml:space="preserve">宇都宮地方裁判所</t>
    </r>
    <r>
      <rPr>
        <sz val="10"/>
        <rFont val="Arial"/>
        <family val="0"/>
        <charset val="1"/>
      </rPr>
      <t xml:space="preserve">); appeal: Tokyo High Court; final appeal: Supreme Court</t>
    </r>
  </si>
  <si>
    <t xml:space="preserve">Confession; forensic evidence (MCT118 DNA typing by the National Research Institute of Police Science, matching semen on the victim’s undershirt with semen on a tissue from his rubbish)</t>
  </si>
  <si>
    <t xml:space="preserve">Minor</t>
  </si>
  <si>
    <t xml:space="preserve">Unknown (no relationship reported)</t>
  </si>
  <si>
    <t xml:space="preserve">A four-year-old girl who went missing near a pachinko parlour on 1990-05-12 and was found dead on the Watarase riverbank the next morning (retrial judgment).</t>
  </si>
  <si>
    <t xml:space="preserve">Ordinary appeals completed (Supreme Court decision dismissing the final appeal)</t>
  </si>
  <si>
    <t xml:space="preserve">Year: 2000 | Month: 07 | Day: 27 | Precision: day [verify: the JFBA report gives 2000-07-26]</t>
  </si>
  <si>
    <t xml:space="preserve">The Supreme Court dismissed the final appeal on 2000-07-17 and then his objection; the National Police Agency’s 2010 review dates finality to 2000-07-27.</t>
  </si>
  <si>
    <t xml:space="preserve">Action 1 — Retrial acquittal (Category A) · 2010-03-26 (precision: day)
Action 2 — National Police Agency review (Category B) (D2, D9) · 2010-04 (precision: month)</t>
  </si>
  <si>
    <t xml:space="preserve">79,937,500 / JPY / 2011 — computed at JPY 12,500 a day for 6,395 days; reported as about JPY 80 million [verify: exact figure]</t>
  </si>
  <si>
    <r>
      <rPr>
        <sz val="10"/>
        <rFont val="Arial"/>
        <family val="0"/>
        <charset val="1"/>
      </rPr>
      <t xml:space="preserve">Utsunomiya District Court — criminal compensation decision (</t>
    </r>
    <r>
      <rPr>
        <sz val="10"/>
        <rFont val="WenQuanYi Zen Hei"/>
        <family val="2"/>
      </rPr>
      <t xml:space="preserve">刑事補償決定</t>
    </r>
    <r>
      <rPr>
        <sz val="10"/>
        <rFont val="Arial"/>
        <family val="0"/>
        <charset val="1"/>
      </rPr>
      <t xml:space="preserve">), 2011-01-13 (single source: Gendai) [verify: official or mainstream source]</t>
    </r>
  </si>
  <si>
    <t xml:space="preserve">No (D1)</t>
  </si>
  <si>
    <t xml:space="preserve">On 12 May 1990 a four-year-old girl went missing near a pachinko parlour in Ashikaga, Tochigi Prefecture, and was found dead on the bank of the Watarase River the next morning. In 1991 police seized a tissue from a bag that Sugaya Toshikazu, a former kindergarten bus driver, had left at a rubbish collection point, and the National Research Institute of Police Science reported that the MCT118 DNA type of semen on it matched that of semen on the victim’s undershirt. On 1 December 1991 police came to his home at about 7 a.m.; questioning began at 9 a.m., he confessed after 10 p.m., and he was arrested early on 2 December. He admitted the charges at the first hearing in February 1992, denied them at the sixth hearing in December 1992, admitted them again, and denied them fully from June 1993. On 7 July 1993 the Utsunomiya District Court sentenced him to life imprisonment, relying mainly on the DNA result and the confession. The Tokyo High Court dismissed his appeal on 9 May 1996. On 17 July 2000 the Supreme Court dismissed the final appeal, holding the MCT118 evidence admissible, and the conviction became final in July 2000.</t>
  </si>
  <si>
    <t xml:space="preserve">In 1997 the defence asked for a new DNA test and submitted an independent analysis showing that his DNA differed from that on the victim’s clothing; prosecutors answered that no re-test was needed. His retrial request, filed on 25 December 2002, was rejected by the Utsunomiya District Court on 13 February 2008. On the immediate appeal the Tokyo High Court ordered a new DNA test on 24 December 2008 by two experts, one nominated by each side. Their results, made public on 8 May 2009, showed that the DNA on the victim’s clothing did not come from him.</t>
  </si>
  <si>
    <t xml:space="preserve">On 4 June 2009, before any retrial decision, the Tokyo High Public Prosecutors Office suspended his sentence and he was released from Chiba Prison after 17 and a half years; it filed an opinion accepting that a retrial should begin. On 10 June the deputy head of the Supreme Public Prosecutors Office said at a press conference that he was deeply sorry for having prosecuted and imprisoned “a person who does not appear to be the true offender”, and on 17 June the head of the Tochigi Prefectural Police apologised to him in person (both as quoted in House of Representatives questions). The Tokyo High Court ordered a retrial on 23 June 2009. At the retrial, which opened on 21 October 2009, the prosecution asked the court to acquit. On 26 March 2010 the court acquitted him and the three judges stood and apologised. On 1 April 2010 the Supreme Public Prosecutors Office published a review of its handling of the case, and in April the National Police Agency published a review stating that the police had arrested him although he was not the offender and had driven him to a false confession. On 13 January 2011 the Utsunomiya District Court awarded criminal compensation at the statutory daily maximum.</t>
  </si>
  <si>
    <t xml:space="preserve">The retrial court held the confession wholly lacking in credibility and plainly false, without excluding it as involuntary; the National Police Agency’s 2010 review says the police drove him to a false confession.</t>
  </si>
  <si>
    <t xml:space="preserve">His account that his hair was pulled and he was kicked in the first interrogation is recorded in a House of Representatives question (2009); the 1996 appeal court found no special coercion, and no finding by the correcting authority supports it (D3).</t>
  </si>
  <si>
    <t xml:space="preserve">About 13 hours of questioning on the first day, from 9 a.m. to after 10 p.m. (JFBA report); not a finding by an official body (D3).</t>
  </si>
  <si>
    <t xml:space="preserve">The retrial court excluded the original MCT118 report, doubting that the test was performed reliably (unclear electrophoresis images; negatives not produced); the court-ordered re-test excluded him.</t>
  </si>
  <si>
    <t xml:space="preserve">No finding of misconduct located.</t>
  </si>
  <si>
    <t xml:space="preserve">Court-ordered DNA re-test by two experts (December 2008 – May 2009).</t>
  </si>
  <si>
    <t xml:space="preserve">The defence sought a re-test from 1997, submitting an independent DNA analysis.</t>
  </si>
  <si>
    <t xml:space="preserve">The 2010 police and prosecution reviews followed the acquittal; they did not trigger it.</t>
  </si>
  <si>
    <t xml:space="preserve">Kidnapping, murder and abandonment of a corpse</t>
  </si>
  <si>
    <t xml:space="preserve">Final in July 2000 after the Supreme Court dismissed the final appeal</t>
  </si>
  <si>
    <t xml:space="preserve">Retrial acquittal, 2010-03-26; National Police Agency review, April 2010</t>
  </si>
  <si>
    <t xml:space="preserve">National Police Agency review stating that the police arrested a person who was not the offender (D2)</t>
  </si>
  <si>
    <t xml:space="preserve">Retrial judgment on courts.go.jp; police and prosecution review summaries; Diet records</t>
  </si>
  <si>
    <t xml:space="preserve">Inclusion: INCLUDED, Categories A and B · Documentation: PASS · Verify with: Ko</t>
  </si>
  <si>
    <t xml:space="preserve">Rape (of a child who was also killed) · Taiwan (Taipei; military courts) · Executed 1997 · Control Yuan correction 2010 · Posthumous retrial acquittal 2011</t>
  </si>
  <si>
    <t xml:space="preserve">JUR-TWN-01</t>
  </si>
  <si>
    <t xml:space="preserve">江國慶案</t>
  </si>
  <si>
    <t xml:space="preserve">Chinese (Traditional)</t>
  </si>
  <si>
    <t xml:space="preserve">Chiang Kuo-ching case</t>
  </si>
  <si>
    <t xml:space="preserve">21 (judgment on remand, 1997-06-17; D8); 20 at his arrest in 1996 and 21 at execution (The News Lens); born 10 October 1975 as reported (Taipei Times) [verify: date of birth]</t>
  </si>
  <si>
    <t xml:space="preserve">Year: 1997 | Month: 08 | Day: 13 | Precision: day</t>
  </si>
  <si>
    <t xml:space="preserve">0.9</t>
  </si>
  <si>
    <t xml:space="preserve">Yes (314 days in custody before execution, as reported; custody from 1996-10-03 or 1996-10-04)</t>
  </si>
  <si>
    <t xml:space="preserve">Yes (corrective actions in 2010 and 2011, 13 and 14 years after the execution)</t>
  </si>
  <si>
    <t xml:space="preserve">Sexual offense; homicide</t>
  </si>
  <si>
    <t xml:space="preserve">強姦婦女罪 (as recorded in the Control Yuan correction) [verify: statute]</t>
  </si>
  <si>
    <t xml:space="preserve">Rape of a woman, in a case concerning the rape and killing of a child</t>
  </si>
  <si>
    <t xml:space="preserve">Death (immediate); carried out 1997-08-13</t>
  </si>
  <si>
    <r>
      <rPr>
        <sz val="10"/>
        <rFont val="Arial"/>
        <family val="0"/>
        <charset val="1"/>
      </rPr>
      <t xml:space="preserve">Air Force Operations Command military court; on review, the Ministry of National Defense set aside the first judgment and remanded; judgment on remand 86</t>
    </r>
    <r>
      <rPr>
        <sz val="10"/>
        <rFont val="WenQuanYi Zen Hei"/>
        <family val="2"/>
      </rPr>
      <t xml:space="preserve">年清判字第</t>
    </r>
    <r>
      <rPr>
        <sz val="10"/>
        <rFont val="Arial"/>
        <family val="0"/>
        <charset val="1"/>
      </rPr>
      <t xml:space="preserve">21</t>
    </r>
    <r>
      <rPr>
        <sz val="10"/>
        <rFont val="WenQuanYi Zen Hei"/>
        <family val="2"/>
      </rPr>
      <t xml:space="preserve">號 </t>
    </r>
    <r>
      <rPr>
        <sz val="10"/>
        <rFont val="Arial"/>
        <family val="0"/>
        <charset val="1"/>
      </rPr>
      <t xml:space="preserve">(1997-06-17); approved on review 86</t>
    </r>
    <r>
      <rPr>
        <sz val="10"/>
        <rFont val="WenQuanYi Zen Hei"/>
        <family val="2"/>
      </rPr>
      <t xml:space="preserve">年覆高則劍字第</t>
    </r>
    <r>
      <rPr>
        <sz val="10"/>
        <rFont val="Arial"/>
        <family val="0"/>
        <charset val="1"/>
      </rPr>
      <t xml:space="preserve">6</t>
    </r>
    <r>
      <rPr>
        <sz val="10"/>
        <rFont val="WenQuanYi Zen Hei"/>
        <family val="2"/>
      </rPr>
      <t xml:space="preserve">號 </t>
    </r>
    <r>
      <rPr>
        <sz val="10"/>
        <rFont val="Arial"/>
        <family val="0"/>
        <charset val="1"/>
      </rPr>
      <t xml:space="preserve">(1997-07-21)</t>
    </r>
  </si>
  <si>
    <t xml:space="preserve">Confession; forensic evidence (polygraph; bloodstain and weapon examinations) [verify]</t>
  </si>
  <si>
    <t xml:space="preserve">Other (child of a canteen worker on the base where he served)</t>
  </si>
  <si>
    <t xml:space="preserve">No — another serviceman who had confessed was prosecuted for murder in 2011 and acquitted with finality in 2014 (D4)</t>
  </si>
  <si>
    <t xml:space="preserve">A five-year-old girl killed at the canteen of the Air Force Operations Command base in Taipei on 1996-09-12 (Control Yuan).</t>
  </si>
  <si>
    <t xml:space="preserve">Ordinary appeals completed (review judgment approving the death sentence)</t>
  </si>
  <si>
    <t xml:space="preserve">Year: 1997 | Month: 07 | Day: 21 | Precision: day</t>
  </si>
  <si>
    <r>
      <rPr>
        <sz val="10"/>
        <rFont val="Arial"/>
        <family val="0"/>
        <charset val="1"/>
      </rPr>
      <t xml:space="preserve">The Ministry of National Defense’s review judgment 86</t>
    </r>
    <r>
      <rPr>
        <sz val="10"/>
        <rFont val="WenQuanYi Zen Hei"/>
        <family val="2"/>
      </rPr>
      <t xml:space="preserve">年覆高則劍字第</t>
    </r>
    <r>
      <rPr>
        <sz val="10"/>
        <rFont val="Arial"/>
        <family val="0"/>
        <charset val="1"/>
      </rPr>
      <t xml:space="preserve">6</t>
    </r>
    <r>
      <rPr>
        <sz val="10"/>
        <rFont val="WenQuanYi Zen Hei"/>
        <family val="2"/>
      </rPr>
      <t xml:space="preserve">號 </t>
    </r>
    <r>
      <rPr>
        <sz val="10"/>
        <rFont val="Arial"/>
        <family val="0"/>
        <charset val="1"/>
      </rPr>
      <t xml:space="preserve">approved the death sentence on 1997-07-21 (Control Yuan report); the sentence was carried out on 1997-08-13.</t>
    </r>
  </si>
  <si>
    <t xml:space="preserve">Action 1 — Control Yuan correction of the Ministry of National Defense (Category B) (D2, D9) · 2010-05 (precision: month) [verify: day]
Action 2 — Military retrial acquittal (Category A) · 2011-09-13 (precision: day)</t>
  </si>
  <si>
    <t xml:space="preserve">103,185,000 / TWD / 2011</t>
  </si>
  <si>
    <r>
      <rPr>
        <sz val="10"/>
        <rFont val="Arial"/>
        <family val="0"/>
        <charset val="1"/>
      </rPr>
      <t xml:space="preserve">Northern District Military Court — criminal compensation decision (</t>
    </r>
    <r>
      <rPr>
        <sz val="10"/>
        <rFont val="WenQuanYi Zen Hei"/>
        <family val="2"/>
      </rPr>
      <t xml:space="preserve">刑事補償</t>
    </r>
    <r>
      <rPr>
        <sz val="10"/>
        <rFont val="Arial"/>
        <family val="0"/>
        <charset val="1"/>
      </rPr>
      <t xml:space="preserve">), 2011-10-26, final 2011-11-16, paid to his mother (as recited in the Taipei District Court’s 2014 judgment)</t>
    </r>
  </si>
  <si>
    <r>
      <rPr>
        <sz val="10"/>
        <rFont val="Arial"/>
        <family val="0"/>
        <charset val="1"/>
      </rPr>
      <t xml:space="preserve">No — criminal compensation follows the acquittal as an entitlement (D1). The state later recovered part of the sum from those involved; the courts found intent or gross negligence (</t>
    </r>
    <r>
      <rPr>
        <sz val="10"/>
        <rFont val="WenQuanYi Zen Hei"/>
        <family val="2"/>
      </rPr>
      <t xml:space="preserve">故意或重大過失</t>
    </r>
    <r>
      <rPr>
        <sz val="10"/>
        <rFont val="Arial"/>
        <family val="0"/>
        <charset val="1"/>
      </rPr>
      <t xml:space="preserve">).</t>
    </r>
  </si>
  <si>
    <t xml:space="preserve">On 12 September 1996 a five-year-old girl, the child of a worker at the base canteen, was found raped and killed at the Air Force Operations Command base in Taipei. Chiang Kuo-ching, a 20-year-old serviceman on the base, came under suspicion, and on 30 September a polygraph examination at the Ministry of Justice Investigation Bureau was read as showing deception. Counter-intelligence officers of Air Force headquarters, who had no judicial-police authority, began questioning him that day, and on 2 October the commanding officer unlawfully gave their unit full charge of the case. He was placed under a 21-day disciplinary confinement order and, after more than 37 hours of continuous questioning, confessed on 4 October. He later retracted, saying he had been tortured. The military court convicted him of rape and sentenced him to death without examining, as the law required, whether the confession was voluntary. On review the Ministry of National Defense set aside that judgment and sent the case back; the same judges imposed the death sentence again on 17 June 1997, and the Ministry approved it on 21 July 1997. In May 1997 another serviceman had confessed to the crime and then retracted, and military investigators ruled him out. Chiang was executed on 13 August 1997.</t>
  </si>
  <si>
    <r>
      <rPr>
        <sz val="10"/>
        <rFont val="Arial"/>
        <family val="0"/>
        <charset val="1"/>
      </rPr>
      <t xml:space="preserve">His father complained to the Control Yuan on 15 October 1996 that the confession had been extracted illegally; the Ministry of National Defense replied in December 1996, and again in 1999, that the case had been handled lawfully. The Control Yuan opened its own investigation in 2004, suspended it in 2005 and resumed it in 2008. In May 2010 it formally censured (</t>
    </r>
    <r>
      <rPr>
        <sz val="10"/>
        <rFont val="WenQuanYi Zen Hei"/>
        <family val="2"/>
      </rPr>
      <t xml:space="preserve">糾正</t>
    </r>
    <r>
      <rPr>
        <sz val="10"/>
        <rFont val="Arial"/>
        <family val="0"/>
        <charset val="1"/>
      </rPr>
      <t xml:space="preserve">) the Ministry for the handling of the investigation and the trial, finding the confession illegally obtained, and attributed the injustice to the speedy-trial practice of military justice. On 20 May 2010 the Supreme Military Court Prosecutors Office filed an extraordinary appeal (</t>
    </r>
    <r>
      <rPr>
        <sz val="10"/>
        <rFont val="WenQuanYi Zen Hei"/>
        <family val="2"/>
      </rPr>
      <t xml:space="preserve">非常上訴</t>
    </r>
    <r>
      <rPr>
        <sz val="10"/>
        <rFont val="Arial"/>
        <family val="0"/>
        <charset val="1"/>
      </rPr>
      <t xml:space="preserve">) [verify: outcome]. In June 2010 the Prosecutor-General set up a joint military and civilian task force, which sent the physical evidence for re-examination. On 28 January 2011 prosecutors sought the detention of the other serviceman [verify: date of his 2011 confession]; he was indicted for murder on 24 May 2011 and acquitted with finality by the Supreme Court on 19 March 2014. When announcing the indictment, prosecutors said that the counter-intelligence officers had extracted Chiang’s confession by coercion, intimidation and abuse of authority, including making him watch autopsy video, but that the limitation period for prosecuting them had expired.</t>
    </r>
  </si>
  <si>
    <t xml:space="preserve">The Ministry of National Defense apologised to the family on 30 January 2011, and President Ma Ying-jeou apologised to Chiang’s mother (IPS, 2011-02-05). His mother petitioned the Northern District Military Court for a retrial, which the court received on 10 February 2011, and a military prosecutor filed a petition on 24 February. The court ordered a retrial on 26 May 2011; the same day the Air Force Command revoked the commendations given in 1997 to 33 personnel for their work on the case. The court acquitted Chiang on 13 September 2011, fourteen years after his execution, and the judgment became final. On 26 October 2011 it granted his mother criminal compensation of NT$103,185,000. The state then sought to recover part of the sum from those involved; on 29 May 2014 the Taipei District Court found intent or gross negligence, and the judgments became final when the Supreme Court dismissed the appeals on 15 February 2019.</t>
  </si>
  <si>
    <t xml:space="preserve">The Control Yuan (2010) found the confession illegally obtained and that the military courts did not examine whether it was voluntary; prosecutors (2011) found it extracted by coercion, intimidation and abuse of authority.</t>
  </si>
  <si>
    <t xml:space="preserve">Coercion, intimidation and abuse of authority, including forced viewing of autopsy video (Supreme Prosecutors Office, 2011-05-24); the recourse judgments found intent or gross negligence in the illegal extraction of the confession. Blindfolding, strong lights and a room arranged like a funeral hall are reported (Newtalk) but do not appear in the official texts seen.</t>
  </si>
  <si>
    <t xml:space="preserve">More than 37 hours of continuous questioning, from 2 October 21:00 to the confession on 4 October 10:20, by a unit without judicial-police authority, under a 21-day disciplinary confinement order (Control Yuan).</t>
  </si>
  <si>
    <t xml:space="preserve">Flaws in the polygraph, bloodstain and weapon examinations are reported [verify: against the retrial judgment] (D3).</t>
  </si>
  <si>
    <t xml:space="preserve">The commanding officer unlawfully handed the investigation to the counter-intelligence unit, which had no judicial-police authority (Control Yuan, 2010).</t>
  </si>
  <si>
    <t xml:space="preserve">The Ministry relied on an incomplete investigation report and disregarded evidence pointing to another serviceman, and the execution went ahead (Control Yuan, 2010).</t>
  </si>
  <si>
    <r>
      <rPr>
        <sz val="10"/>
        <rFont val="Arial"/>
        <family val="0"/>
        <charset val="1"/>
      </rPr>
      <t xml:space="preserve">The Control Yuan attributed the injustice to the speedy-trial-and-closure practice (</t>
    </r>
    <r>
      <rPr>
        <sz val="10"/>
        <rFont val="WenQuanYi Zen Hei"/>
        <family val="2"/>
      </rPr>
      <t xml:space="preserve">速審速結</t>
    </r>
    <r>
      <rPr>
        <sz val="10"/>
        <rFont val="Arial"/>
        <family val="0"/>
        <charset val="1"/>
      </rPr>
      <t xml:space="preserve">) of military justice at the time.</t>
    </r>
  </si>
  <si>
    <t xml:space="preserve">The serviceman who confessed was acquitted with finality in 2014 (D4).</t>
  </si>
  <si>
    <t xml:space="preserve">May 1997, retracted (Control Yuan); he was detained again in January 2011 [verify: 2011 confession].</t>
  </si>
  <si>
    <t xml:space="preserve">Physical evidence sent for re-examination by the joint task force (Supreme Prosecutors Office, 2011-03-11).</t>
  </si>
  <si>
    <t xml:space="preserve">Father’s complaint to the Control Yuan (1996); mother’s retrial petition (2011).</t>
  </si>
  <si>
    <t xml:space="preserve">Control Yuan investigation (2004–2010) and the joint military and civilian task force (2010–2011).</t>
  </si>
  <si>
    <t xml:space="preserve">Rape, in a case of rape and killing</t>
  </si>
  <si>
    <t xml:space="preserve">Final on 1997-07-21 on the Ministry of National Defense’s review judgment; executed 1997-08-13</t>
  </si>
  <si>
    <t xml:space="preserve">Control Yuan correction (May 2010); military retrial acquittal (2011-09-13, posthumous)</t>
  </si>
  <si>
    <t xml:space="preserve">Control Yuan correction finding the confession illegally obtained and the conviction unjust (D2)</t>
  </si>
  <si>
    <t xml:space="preserve">Control Yuan correction and report; prosecutorial press releases; the 2014 judgment reciting the acquittal and the compensation [verify: retrial judgment]</t>
  </si>
  <si>
    <t xml:space="preserve">JUR-TWN-01 (new; draft in Appendix A; military courts, see D7).</t>
  </si>
  <si>
    <t xml:space="preserve">PENDING</t>
  </si>
  <si>
    <t xml:space="preserve">Inclusion: PENDING (Documentation: FAIL until the PK decision is cited) · Verify with: Sumampouw and Isa</t>
  </si>
  <si>
    <t xml:space="preserve">Robbery and murder · Indonesia (Bekasi) · Convicted 1977; appeal decided 1978 · Review (PK) granted 1981 [verify]</t>
  </si>
  <si>
    <t xml:space="preserve">JUR-IDN-01</t>
  </si>
  <si>
    <t xml:space="preserve">Kasus Sengkon dan Karta</t>
  </si>
  <si>
    <t xml:space="preserve">Indonesian</t>
  </si>
  <si>
    <t xml:space="preserve">Sengkon and Karta case</t>
  </si>
  <si>
    <t xml:space="preserve">Sengkon: Sengkon bin Yakin (as in the 1977 judgment; the earlier ARWC table has “Jakin”) | Karta: Karta alias Karung alias Encep bin Salam (as in the 1977 judgment)</t>
  </si>
  <si>
    <t xml:space="preserve">Sengkon: Sengkon | Karta: Karta</t>
  </si>
  <si>
    <t xml:space="preserve">Sengkon: Male | Karta: Male</t>
  </si>
  <si>
    <t xml:space="preserve">Sengkon: 48 (as stated in the 1977 judgment) | Karta: 36 (as stated in the 1977 judgment)</t>
  </si>
  <si>
    <t xml:space="preserve">Sengkon: No | Karta: No</t>
  </si>
  <si>
    <t xml:space="preserve">Sengkon: — | Karta: —</t>
  </si>
  <si>
    <t xml:space="preserve">Sengkon: 5.9 | Karta: 3.3</t>
  </si>
  <si>
    <t xml:space="preserve">Sengkon: Yes (detained from 1974-12-11; released 1980-11-04 by one account, or in 1981 by the Supreme Court’s news portal) [verify: release date] | Karta: Yes (detained 1974-12-09 to 1974-12-28, then from 1977-07-26 until release, as for Sengkon) [verify: release date]</t>
  </si>
  <si>
    <t xml:space="preserve">Homicide; robbery</t>
  </si>
  <si>
    <t xml:space="preserve">Pasal 340 jo. 338 KUHP; alternatively Pasal 365 ayat (2)–(3) KUHP (indictment, as reproduced) [verify: articles applied in the verdict]</t>
  </si>
  <si>
    <t xml:space="preserve">Premeditated murder and murder; alternatively theft with violence</t>
  </si>
  <si>
    <t xml:space="preserve">Fixed term: Sengkon 12 years; Karta 7 years (district court; the prosecution had asked for 15 and 10)</t>
  </si>
  <si>
    <t xml:space="preserve">Pengadilan Negeri Bekasi, No. 2/KTS/Bks/1977 (1977-10-20); appeal: Pengadilan Tinggi Bandung, No. 38/1978/Pid/PTB (1978-05-25)</t>
  </si>
  <si>
    <t xml:space="preserve">Unknown [verify] (later accounts say the convictions rested on confessions obtained by abuse)</t>
  </si>
  <si>
    <t xml:space="preserve">2</t>
  </si>
  <si>
    <t xml:space="preserve">Unknown (the victims lived in a hamlet of the same sub-district)</t>
  </si>
  <si>
    <t xml:space="preserve">Unknown — another prisoner confessed and is reported to have been convicted [verify: judgment] (D4)</t>
  </si>
  <si>
    <t xml:space="preserve">A married couple killed in a robbery at their home in kampung Bojongsari, Desa Jatiluhur, Kecamatan Pondokgede, Bekasi, on the night of 20–21 November 1974 (indictment, as reproduced).</t>
  </si>
  <si>
    <t xml:space="preserve">Ordinary appeal completed (Pengadilan Tinggi Bandung, 1978-05-25); any cassation [verify]</t>
  </si>
  <si>
    <t xml:space="preserve">Unknown — after 1978-05-25 [verify]</t>
  </si>
  <si>
    <t xml:space="preserve">Both men were serving their sentences when review was sought, and review (PK) lies only against a judgment with permanent legal force.</t>
  </si>
  <si>
    <t xml:space="preserve">Action 1 — Supreme Court review decision (Category A) · Year: 1981 | Precision: year (Supreme Court news portal; The Jakarta Post) [verify: date; one account dates the review to 1980]</t>
  </si>
  <si>
    <t xml:space="preserve">Unknown — a civil claim filed in 1981 and decided in 1982 is reported (Dandapala) [verify: outcome]; an academic account says they received no compensation</t>
  </si>
  <si>
    <t xml:space="preserve">Sengkon, a 48-year-old farmer from Pondok Ranggon, and Karta, 36, from Cakung Payangan, both in Pondokgede sub-district of Bekasi, were detained in December 1974 for the robbery and killing of a married couple at their home in the hamlet of Bojongsari on the night of 20–21 November 1974. According to later accounts they were tortured into confessing (The Jakarta Post, 2008). On 20 October 1977 the Bekasi District Court convicted both and sentenced Sengkon to 12 years’ imprisonment and Karta to 7; the prosecution had asked for 15 and 10. The Bandung High Court decided their appeal on 25 May 1978 [verify: outcome].</t>
  </si>
  <si>
    <t xml:space="preserve">Another man later admitted to the killings (Supreme Court news portal); by the account most often repeated he was a fellow prisoner in Cipinang, and he and others were convicted of the robbery [verify: both points]. At the time Indonesian law provided for review of a final conviction only in principle, without an operative procedure [verify], and the Supreme Court issued Regulation (PERMA) No. 1 of 1980 on review (peninjauan kembali) in response to the case.</t>
  </si>
  <si>
    <t xml:space="preserve">The Supreme Court granted the review and the two men were freed; the Supreme Court’s news portal and The Jakarta Post date this to 1981, while one account dates a suspension of their sentences and their release to 4 November 1980 [verify]. Review of final convictions was then written into the Code of Criminal Procedure of 1981 (KUHAP, art. 263 onwards), which was replaced on 2 January 2026. A civil claim for compensation is reported to have been filed in 1981 and decided in 1982 [verify: outcome].</t>
  </si>
  <si>
    <t xml:space="preserve">Torture to obtain confessions is reported (The Jakarta Post editorial, 2008; the earlier ARWC table); no official finding located (D3).</t>
  </si>
  <si>
    <t xml:space="preserve">See 1.</t>
  </si>
  <si>
    <t xml:space="preserve">No contributing factor could be verified against an official finding.</t>
  </si>
  <si>
    <t xml:space="preserve">The confessing man’s conviction is reported but not documented [verify: judgment] (D4).</t>
  </si>
  <si>
    <t xml:space="preserve">Another man admitted the killings (Supreme Court news portal, 2025; Hukumonline, 2020).</t>
  </si>
  <si>
    <t xml:space="preserve">Appeal decided by the Bandung High Court on 1978-05-25; both men were serving their sentences, and review (PK) lies only against a final judgment [verify: date of finality]</t>
  </si>
  <si>
    <t xml:space="preserve">Supreme Court PK decision granting review (1981, secondary sources)</t>
  </si>
  <si>
    <t xml:space="preserve">The PK decision removed the convictions</t>
  </si>
  <si>
    <t xml:space="preserve">FAIL</t>
  </si>
  <si>
    <t xml:space="preserve">No traceable document for the PK decision yet: it is not cited by number or date. The district and appeal judgments are cited by number on the Supreme Court’s news portal.</t>
  </si>
  <si>
    <t xml:space="preserve">Meets the finality and official-action criteria on the sources found; to be published once the PK decision is cited</t>
  </si>
  <si>
    <t xml:space="preserve">JUR-IDN-01 (new; draft in Appendix A).</t>
  </si>
  <si>
    <t xml:space="preserve">Inclusion: INCLUDED, Categories A and B · Documentation: PASS · Verify with: Wang</t>
  </si>
  <si>
    <r>
      <rPr>
        <sz val="10"/>
        <rFont val="Arial"/>
        <family val="0"/>
        <charset val="1"/>
      </rPr>
      <t xml:space="preserve">Intentional homicide </t>
    </r>
    <r>
      <rPr>
        <sz val="10"/>
        <rFont val="WenQuanYi Zen Hei"/>
        <family val="2"/>
      </rPr>
      <t xml:space="preserve">故意杀人 </t>
    </r>
    <r>
      <rPr>
        <sz val="10"/>
        <rFont val="Arial"/>
        <family val="0"/>
        <charset val="1"/>
      </rPr>
      <t xml:space="preserve">· China (Jiangxi) · Final 2001 · Retrial acquittal 2020</t>
    </r>
  </si>
  <si>
    <t xml:space="preserve">张玉环故意杀人案</t>
  </si>
  <si>
    <t xml:space="preserve">Zhang Yuhuan intentional homicide case</t>
  </si>
  <si>
    <t xml:space="preserve">34 (first-instance judgment on retrial, 2001-11-07; born 1967-09-18 per the 2020 retrial judgment). He was 27 at the first conviction, 1995-01-26, which was set aside (D8).</t>
  </si>
  <si>
    <t xml:space="preserve">26.8</t>
  </si>
  <si>
    <t xml:space="preserve">No (in custody from 1993-10-27 to 2020-08-04; 9,778 days, the figure used in the compensation decision)</t>
  </si>
  <si>
    <t xml:space="preserve">Homicide</t>
  </si>
  <si>
    <t xml:space="preserve">故意杀人罪</t>
  </si>
  <si>
    <r>
      <rPr>
        <sz val="10"/>
        <rFont val="Arial"/>
        <family val="0"/>
        <charset val="1"/>
      </rPr>
      <t xml:space="preserve">Death with reprieve (</t>
    </r>
    <r>
      <rPr>
        <sz val="10"/>
        <rFont val="WenQuanYi Zen Hei"/>
        <family val="2"/>
      </rPr>
      <t xml:space="preserve">死刑，缓期二年执行</t>
    </r>
    <r>
      <rPr>
        <sz val="10"/>
        <rFont val="Arial"/>
        <family val="0"/>
        <charset val="1"/>
      </rPr>
      <t xml:space="preserve">), with lifetime deprivation of political rights</t>
    </r>
  </si>
  <si>
    <r>
      <rPr>
        <sz val="10"/>
        <rFont val="Arial"/>
        <family val="0"/>
        <charset val="1"/>
      </rPr>
      <t xml:space="preserve">Nanchang Intermediate People’s Court, (2001)</t>
    </r>
    <r>
      <rPr>
        <sz val="10"/>
        <rFont val="WenQuanYi Zen Hei"/>
        <family val="2"/>
      </rPr>
      <t xml:space="preserve">洪刑一初字第</t>
    </r>
    <r>
      <rPr>
        <sz val="10"/>
        <rFont val="Arial"/>
        <family val="0"/>
        <charset val="1"/>
      </rPr>
      <t xml:space="preserve">125</t>
    </r>
    <r>
      <rPr>
        <sz val="10"/>
        <rFont val="WenQuanYi Zen Hei"/>
        <family val="2"/>
      </rPr>
      <t xml:space="preserve">号</t>
    </r>
    <r>
      <rPr>
        <sz val="10"/>
        <rFont val="Arial"/>
        <family val="0"/>
        <charset val="1"/>
      </rPr>
      <t xml:space="preserve">; second instance: Jiangxi Higher People’s Court, (2001)</t>
    </r>
    <r>
      <rPr>
        <sz val="10"/>
        <rFont val="WenQuanYi Zen Hei"/>
        <family val="2"/>
      </rPr>
      <t xml:space="preserve">赣刑一终字第</t>
    </r>
    <r>
      <rPr>
        <sz val="10"/>
        <rFont val="Arial"/>
        <family val="0"/>
        <charset val="1"/>
      </rPr>
      <t xml:space="preserve">375</t>
    </r>
    <r>
      <rPr>
        <sz val="10"/>
        <rFont val="WenQuanYi Zen Hei"/>
        <family val="2"/>
      </rPr>
      <t xml:space="preserve">号</t>
    </r>
  </si>
  <si>
    <t xml:space="preserve">Confession (two inculpatory statements, 1993-11-03 and 1993-11-04, the only ones in the case); physical evidence (a sack found near where the bodies were dumped and a hemp rope from his home, treated as instruments of the crime; fibre comparison of the sack with his clothing)</t>
  </si>
  <si>
    <t xml:space="preserve">Acquaintance (neighbours’ children)</t>
  </si>
  <si>
    <t xml:space="preserve">Two boys, aged 6 and 4, went missing on 1993-10-24 in Zhangjia village, Huangling township, Jinxian County, Jiangxi; their bodies were found in a nearby reservoir the next day (retrial judgment).</t>
  </si>
  <si>
    <t xml:space="preserve">Ordinary appeals completed (second-instance ruling issued)</t>
  </si>
  <si>
    <t xml:space="preserve">Year: 2001 | Month: 11 | Day: 28 | Precision: day</t>
  </si>
  <si>
    <r>
      <rPr>
        <sz val="10"/>
        <rFont val="Arial"/>
        <family val="0"/>
        <charset val="1"/>
      </rPr>
      <t xml:space="preserve">The Jiangxi Higher People’s Court dismissed the appeal and upheld and approved the sentence (</t>
    </r>
    <r>
      <rPr>
        <sz val="10"/>
        <rFont val="WenQuanYi Zen Hei"/>
        <family val="2"/>
      </rPr>
      <t xml:space="preserve">驳回上诉，维持并核准原判</t>
    </r>
    <r>
      <rPr>
        <sz val="10"/>
        <rFont val="Arial"/>
        <family val="0"/>
        <charset val="1"/>
      </rPr>
      <t xml:space="preserve">; (2001)</t>
    </r>
    <r>
      <rPr>
        <sz val="10"/>
        <rFont val="WenQuanYi Zen Hei"/>
        <family val="2"/>
      </rPr>
      <t xml:space="preserve">赣刑一终字第</t>
    </r>
    <r>
      <rPr>
        <sz val="10"/>
        <rFont val="Arial"/>
        <family val="0"/>
        <charset val="1"/>
      </rPr>
      <t xml:space="preserve">375</t>
    </r>
    <r>
      <rPr>
        <sz val="10"/>
        <rFont val="WenQuanYi Zen Hei"/>
        <family val="2"/>
      </rPr>
      <t xml:space="preserve">号</t>
    </r>
    <r>
      <rPr>
        <sz val="10"/>
        <rFont val="Arial"/>
        <family val="0"/>
        <charset val="1"/>
      </rPr>
      <t xml:space="preserve">); under the two-instance system (</t>
    </r>
    <r>
      <rPr>
        <sz val="10"/>
        <rFont val="WenQuanYi Zen Hei"/>
        <family val="2"/>
      </rPr>
      <t xml:space="preserve">两审终审制</t>
    </r>
    <r>
      <rPr>
        <sz val="10"/>
        <rFont val="Arial"/>
        <family val="0"/>
        <charset val="1"/>
      </rPr>
      <t xml:space="preserve">) the ruling took legal effect on issue.</t>
    </r>
  </si>
  <si>
    <t xml:space="preserve">Action 1 — Retrial acquittal (Category A) · 2020-08-04 (precision: day)
Action 2 — State compensation decision (Category B) · 2020-10 (precision: month): agreement 2020-10-12; decision served 2020-10-30 [verify: date of the decision]</t>
  </si>
  <si>
    <t xml:space="preserve">4,960,521.50 / CNY / 2020</t>
  </si>
  <si>
    <t xml:space="preserve">Jiangxi Higher People’s Court</t>
  </si>
  <si>
    <t xml:space="preserve">Yes (recorded as Action 2) [verify: whether the decision recites the wrongful conviction]</t>
  </si>
  <si>
    <r>
      <rPr>
        <sz val="10"/>
        <rFont val="Arial"/>
        <family val="0"/>
        <charset val="1"/>
      </rPr>
      <t xml:space="preserve">On 24 October 1993 two boys, aged 6 and 4, went missing in Zhangjia village, Jinxian County, Jiangxi Province; their bodies were found in a nearby reservoir the next day. Zhang Yuhuan, a 26-year-old farmer and their neighbour, was taken into shelter-and-investigation custody (</t>
    </r>
    <r>
      <rPr>
        <sz val="10"/>
        <rFont val="WenQuanYi Zen Hei"/>
        <family val="2"/>
      </rPr>
      <t xml:space="preserve">收容审查</t>
    </r>
    <r>
      <rPr>
        <sz val="10"/>
        <rFont val="Arial"/>
        <family val="0"/>
        <charset val="1"/>
      </rPr>
      <t xml:space="preserve">) on 27 October and formally arrested on 29 December. He made the only two inculpatory statements in the case on 3 and 4 November 1993; they contradicted each other on where and how the boys were killed, the instrument used, and where and how the bodies were disposed of. On 26 January 1995 the Nanchang Intermediate People’s Court convicted him of intentional homicide and sentenced him to death with a two-year reprieve. On 30 March 1995 the Jiangxi Higher People’s Court set that judgment aside and sent the case back, reportedly because the facts were unclear and the evidence insufficient. On 7 November 2001 the intermediate court imposed the same conviction and sentence. On 28 November 2001 the higher court, without a hearing, dismissed his appeal and approved the sentence, and the conviction became final; the ruling, as reported, shows no defence lawyer.</t>
    </r>
  </si>
  <si>
    <t xml:space="preserve">Zhang maintained his innocence and wrote a petition from prison every week, and his family and his former wife petitioned outside. He submitted a formal criminal petition to the Jiangxi Higher People’s Court on 22 August 2017. His lawyers argued that the physical evidence did not link him to the crime, that the two confessions contradicted each other, and that he had had no defence lawyer at the final appeal. The court docketed the petition for review in June 2018 and decided on 1 March 2019 to retry the case.</t>
  </si>
  <si>
    <t xml:space="preserve">Pre-trial meetings were held on 20 January and 9 June 2020, and the retrial was heard in public on 9 July 2020, where the procuratorate recommended acquittal. On 4 August 2020 the Jiangxi Higher People’s Court set aside the 2001 judgment and ruling and declared him not guilty: the evidence did not meet the statutory standard of proof, the physical evidence was not linked to the case or to him, and the truth of his confessions was doubtful. He had been in custody for 9,778 days. A responsible official of the court apologised to him on the court’s behalf. He applied for state compensation on 2 September 2020; the parties reached agreement on 12 October, and the decision, served on 30 October, awarded RMB 4,960,521.50, including RMB 1,570,000 for mental harm.</t>
  </si>
  <si>
    <r>
      <rPr>
        <sz val="10"/>
        <rFont val="Arial"/>
        <family val="0"/>
        <charset val="1"/>
      </rPr>
      <t xml:space="preserve">The retrial court held the truth of the inculpatory statements doubtful and unusable as a basis for conviction: unstable, mutually contradictory, and taken after the evidence had been gathered (</t>
    </r>
    <r>
      <rPr>
        <sz val="10"/>
        <rFont val="WenQuanYi Zen Hei"/>
        <family val="2"/>
      </rPr>
      <t xml:space="preserve">先证后供</t>
    </r>
    <r>
      <rPr>
        <sz val="10"/>
        <rFont val="Arial"/>
        <family val="0"/>
        <charset val="1"/>
      </rPr>
      <t xml:space="preserve">) (retrial judgment).</t>
    </r>
  </si>
  <si>
    <t xml:space="preserve">He alleged beatings and other torture, and the defence applied to exclude the confessions (as reported); the published retrial judgment makes no finding of torture (D3).</t>
  </si>
  <si>
    <t xml:space="preserve">Both inculpatory statements were taken about a week after he was placed in shelter-and-investigation custody, an administrative detention without access to counsel (retrial judgment; The Paper). See 7.</t>
  </si>
  <si>
    <t xml:space="preserve">The retrial court found the sack and the hemp rope relied on as instruments of the crime not linked to the case or to him (retrial judgment).</t>
  </si>
  <si>
    <t xml:space="preserve">The 2001 appellate ruling, decided without a hearing, shows no defence lawyer (as reported); no finding by the retrial court (D3).</t>
  </si>
  <si>
    <r>
      <rPr>
        <sz val="10"/>
        <rFont val="Arial"/>
        <family val="0"/>
        <charset val="1"/>
      </rPr>
      <t xml:space="preserve">Held for two months under shelter-and-investigation (</t>
    </r>
    <r>
      <rPr>
        <sz val="10"/>
        <rFont val="WenQuanYi Zen Hei"/>
        <family val="2"/>
      </rPr>
      <t xml:space="preserve">收容审查</t>
    </r>
    <r>
      <rPr>
        <sz val="10"/>
        <rFont val="Arial"/>
        <family val="0"/>
        <charset val="1"/>
      </rPr>
      <t xml:space="preserve">), an administrative measure abolished by the 1996 revision of the Criminal Procedure Law (in force 1997-01-01); both inculpatory statements were taken in that period (retrial judgment; State Council white paper, 1997).</t>
    </r>
  </si>
  <si>
    <r>
      <rPr>
        <sz val="10"/>
        <rFont val="Arial"/>
        <family val="0"/>
        <charset val="1"/>
      </rPr>
      <t xml:space="preserve">None reported: the court re-assessed the existing evidence on the principle that doubt benefits the accused (</t>
    </r>
    <r>
      <rPr>
        <sz val="10"/>
        <rFont val="WenQuanYi Zen Hei"/>
        <family val="2"/>
      </rPr>
      <t xml:space="preserve">疑罪从无</t>
    </r>
    <r>
      <rPr>
        <sz val="10"/>
        <rFont val="Arial"/>
        <family val="0"/>
        <charset val="1"/>
      </rPr>
      <t xml:space="preserve">) (Xinhua).</t>
    </r>
  </si>
  <si>
    <t xml:space="preserve">Weekly petitions from prison; petitions by his family and his former wife (The Paper).</t>
  </si>
  <si>
    <t xml:space="preserve">Lawyers prepared the 2017 petition and represented him at the retrial.</t>
  </si>
  <si>
    <r>
      <rPr>
        <sz val="10"/>
        <rFont val="Arial"/>
        <family val="0"/>
        <charset val="1"/>
      </rPr>
      <t xml:space="preserve">Final on 2001-11-28 on the higher court’s second-instance ruling (</t>
    </r>
    <r>
      <rPr>
        <sz val="10"/>
        <rFont val="WenQuanYi Zen Hei"/>
        <family val="2"/>
      </rPr>
      <t xml:space="preserve">两审终审制</t>
    </r>
    <r>
      <rPr>
        <sz val="10"/>
        <rFont val="Arial"/>
        <family val="0"/>
        <charset val="1"/>
      </rPr>
      <t xml:space="preserve">)</t>
    </r>
  </si>
  <si>
    <t xml:space="preserve">Retrial acquittal, 2020-08-04; state compensation decision, October 2020</t>
  </si>
  <si>
    <t xml:space="preserve">The retrial acquittal set aside the conviction</t>
  </si>
  <si>
    <t xml:space="preserve">State compensation decision under the State Compensation Law, including an award for mental harm (D1) [verify: decision text]</t>
  </si>
  <si>
    <t xml:space="preserve">Retrial judgment (full text published); the court’s announcements as reported by Xinhua and China News Service</t>
  </si>
  <si>
    <t xml:space="preserve">JUR-CHN-01 (existing; see D7 on the provincial level).</t>
  </si>
  <si>
    <t xml:space="preserve">Inclusion: INCLUDED, Categories A and B · Documentation: PASS · Verify with: no Korean co-developer yet</t>
  </si>
  <si>
    <t xml:space="preserve">Murder and rape resulting in death · Korea (Gyeonggi) · Final c. 1990 [verify] · Retrial acquittal 2020</t>
  </si>
  <si>
    <t xml:space="preserve">JUR-KOR-01</t>
  </si>
  <si>
    <t xml:space="preserve">화성 연쇄살인 사건 제8차 사건 (화성 8차 사건)</t>
  </si>
  <si>
    <t xml:space="preserve">Korean</t>
  </si>
  <si>
    <t xml:space="preserve">Eighth Hwaseong serial murder case</t>
  </si>
  <si>
    <t xml:space="preserve">2026-10-01 / 2026-10-01 (Codebook v1.0; source-checked)</t>
  </si>
  <si>
    <t xml:space="preserve">Yoon Sung-yeo (Revised Romanization: Yun Seong-yeo)</t>
  </si>
  <si>
    <t xml:space="preserve">22 (first-instance judgment, 1989-10-20), the age most reports give for 1989; one report gives 21 [verify: date of birth]</t>
  </si>
  <si>
    <t xml:space="preserve">20.1</t>
  </si>
  <si>
    <t xml:space="preserve">No (detained 1989-07-25 to 2009-08-14; 7,326 days, the figure in the criminal compensation decision)</t>
  </si>
  <si>
    <t xml:space="preserve">살인 및 강간치사 (as reported by Law Times) [verify: statute]</t>
  </si>
  <si>
    <t xml:space="preserve">Murder; rape resulting in death</t>
  </si>
  <si>
    <r>
      <rPr>
        <sz val="10"/>
        <rFont val="Arial"/>
        <family val="0"/>
        <charset val="1"/>
      </rPr>
      <t xml:space="preserve">Life imprisonment (</t>
    </r>
    <r>
      <rPr>
        <sz val="10"/>
        <rFont val="WenQuanYi Zen Hei"/>
        <family val="2"/>
      </rPr>
      <t xml:space="preserve">무기징역</t>
    </r>
    <r>
      <rPr>
        <sz val="10"/>
        <rFont val="Arial"/>
        <family val="0"/>
        <charset val="1"/>
      </rPr>
      <t xml:space="preserve">); later commuted [verify: term and date]; released on parole 2009-08-14</t>
    </r>
  </si>
  <si>
    <r>
      <rPr>
        <sz val="10"/>
        <rFont val="Arial"/>
        <family val="0"/>
        <charset val="1"/>
      </rPr>
      <t xml:space="preserve">Suwon District Court (</t>
    </r>
    <r>
      <rPr>
        <sz val="10"/>
        <rFont val="WenQuanYi Zen Hei"/>
        <family val="2"/>
      </rPr>
      <t xml:space="preserve">수원지방법원</t>
    </r>
    <r>
      <rPr>
        <sz val="10"/>
        <rFont val="Arial"/>
        <family val="0"/>
        <charset val="1"/>
      </rPr>
      <t xml:space="preserve">); appeal [verify: court; then the Seoul High Court for Suwon cases]; final appeal: Supreme Court (</t>
    </r>
    <r>
      <rPr>
        <sz val="10"/>
        <rFont val="WenQuanYi Zen Hei"/>
        <family val="2"/>
      </rPr>
      <t xml:space="preserve">대법원</t>
    </r>
    <r>
      <rPr>
        <sz val="10"/>
        <rFont val="Arial"/>
        <family val="0"/>
        <charset val="1"/>
      </rPr>
      <t xml:space="preserve">)</t>
    </r>
  </si>
  <si>
    <t xml:space="preserve">Confession (police and prosecution statements); forensic evidence (radioisotope analysis by the National Institute of Scientific Investigation comparing pubic hair found at the scene with his, report dated 1989-07-24)</t>
  </si>
  <si>
    <t xml:space="preserve">Yes — the retrial court found the confession of the man police identified in 2019 as the Hwaseong serial murderer “very specific, reasonable and consistent with the objective evidence” and highly credible; he was not prosecuted for this offence because the limitation period had expired (D4)</t>
  </si>
  <si>
    <t xml:space="preserve">Yes — five murders committed after the conviction (1990–1994) are attributed to the same man: four in the police’s final report of 2020-07-02, and one in 1994 for which he was convicted [verify: whether “subsequent” runs from the offence, the arrest or the conviction]</t>
  </si>
  <si>
    <t xml:space="preserve">A 13-year-old girl raped and killed in her home in Taean-eup, Hwaseong County, Gyeonggi Province, on 1988-09-16. Police at the time treated it as a copycat of the serial murders.</t>
  </si>
  <si>
    <t xml:space="preserve">Ordinary appeals completed (Supreme Court judgment dismissing the final appeal)</t>
  </si>
  <si>
    <t xml:space="preserve">Unknown [verify: reported only as after appeals to the High Court and the Supreme Court; 1990 is likely but not confirmed]</t>
  </si>
  <si>
    <t xml:space="preserve">His appeals, in which he said the confession had been forced, were dismissed and the life sentence became final [verify: dates]. He served it until parole in 2009.</t>
  </si>
  <si>
    <t xml:space="preserve">Action 1 — Retrial acquittal (Category A) · 2020-12-17 (precision: day)
Action 2 — State-damages judgment (Category B) (D9) · 2022-11-16 (precision: day)</t>
  </si>
  <si>
    <t xml:space="preserve">Yes (criminal compensation, then state damages)</t>
  </si>
  <si>
    <r>
      <rPr>
        <sz val="10"/>
        <rFont val="Arial"/>
        <family val="0"/>
        <charset val="1"/>
      </rPr>
      <t xml:space="preserve">(1) 2,517,213,600 / KRW / 2021 — criminal compensation (</t>
    </r>
    <r>
      <rPr>
        <sz val="10"/>
        <rFont val="WenQuanYi Zen Hei"/>
        <family val="2"/>
      </rPr>
      <t xml:space="preserve">형사보상</t>
    </r>
    <r>
      <rPr>
        <sz val="10"/>
        <rFont val="Arial"/>
        <family val="0"/>
        <charset val="1"/>
      </rPr>
      <t xml:space="preserve">), computed at KRW 343,600 a day (the 2020 cap of five times the daily minimum wage) for 7,326 days; reported as about KRW 2.5172 billion. (2) About 1,869,110,000 / KRW / 2022 — state damages to Yoon after deduction of (1) [verify: exact figure]</t>
    </r>
  </si>
  <si>
    <t xml:space="preserve">(1) Suwon District Court, 5th Criminal Division — criminal compensation decision, 2021-02-19. (2) Seoul Central District Court — Action 2</t>
  </si>
  <si>
    <t xml:space="preserve">(1) No — criminal compensation follows the acquittal as an entitlement (D1). (2) Yes (Action 2)</t>
  </si>
  <si>
    <t xml:space="preserve">On 16 September 1988 a 13-year-old girl was raped and killed in her home in Taean-eup, Hwaseong County, Gyeonggi Province. Police treated the killing at the time as a copycat of the Hwaseong serial murders; it is now counted as the eighth of them. In a report dated 24 July 1989 the National Institute of Scientific Investigation said that pubic hair found at the scene matched that of Yoon Sung-yeo, a 22-year-old farm-machinery repair worker with a disability from childhood polio. Police took him in that month; they later found that he was held for about 75 hours without legal basis until an arrest warrant was issued, and he confessed in that time. On 20 October 1989 the Suwon District Court convicted him of murder and rape resulting in death and sentenced him to life imprisonment. He told the appeal courts that he had confessed falsely under torture, but his appeals were dismissed [verify: dates]. The sentence was later commuted [verify: term], and he was released on parole on 14 August 2009 after 7,326 days in custody.</t>
  </si>
  <si>
    <t xml:space="preserve">In September 2019 police found that DNA from evidence in other Hwaseong cases (eventually five of the ten) matched a man serving a life sentence for a murder committed in 1994. In questioning on 24–27 September he confessed to fourteen murders between 1986 and 1991, the eighth case among them; this was made public in early October. Reinvestigating that case, police found that the 1989 investigators had held Yoon illegally for 75 hours and kept him from sleeping, and in December 2019 they booked eight people, including six officers and the prosecutor then in charge, for offences including illegal detention and cruelty; none could be prosecuted because the limitation period had expired. On 23 December 2019 the Suwon District Prosecutors’ Office told the court that the 1989 radioisotope report had been falsely prepared: the values given for the scene hair came from a standard sample, another person’s results had been substituted for Yoon’s, and figures had been adjusted to produce a match. Announcing the final results of the reinvestigation on 2 July 2020, the Gyeonggi Nambu Provincial Police Agency attributed the eighth case to the other man, and its chief apologised to Yoon among others.</t>
  </si>
  <si>
    <t xml:space="preserve">Yoon petitioned the Suwon District Court for a retrial on 13 November 2019, and on 14 January 2020 the court ordered one, finding clear new evidence of innocence. The other man testified as a witness on 2 November 2020, and on 19 November the prosecution asked the court to acquit and apologised to Yoon. On 17 December 2020 the court acquitted him. It held that the confession had been obtained through illegal arrest and detention and cruel acts, including sleep deprivation and forced squats, and that his statements had been written as dictated and falsely recorded as taken in a witness’s presence, so none could be used as evidence. It found the radioisotope analysis erroneous and unreliable, noted that his polio-affected physique did not fit the scene and autopsy evidence, and found the other man’s confession highly credible. The presiding judge apologised on the court’s behalf, and the prosecution waived its appeal the same day. On 19 February 2021 the court awarded criminal compensation at the statutory maximum. On 16 November 2022 the Seoul Central District Court held the state liable in damages for the police investigators’ unlawful acts; on 1 December 2022 the Ministry of Justice announced that the state would not appeal, accepting its responsibility, and apologised.</t>
  </si>
  <si>
    <t xml:space="preserve">The retrial court held the confession and police statements inadmissible: obtained through illegal arrest and detention and cruel acts, written as dictated, and falsely recorded as taken in a witness’s presence (retrial judgment, as reported).</t>
  </si>
  <si>
    <r>
      <rPr>
        <sz val="10"/>
        <rFont val="Arial"/>
        <family val="0"/>
        <charset val="1"/>
      </rPr>
      <t xml:space="preserve">Cruel acts (</t>
    </r>
    <r>
      <rPr>
        <sz val="10"/>
        <rFont val="WenQuanYi Zen Hei"/>
        <family val="2"/>
      </rPr>
      <t xml:space="preserve">가혹행위</t>
    </r>
    <r>
      <rPr>
        <sz val="10"/>
        <rFont val="Arial"/>
        <family val="0"/>
        <charset val="1"/>
      </rPr>
      <t xml:space="preserve">), including sleep deprivation and forced squats (</t>
    </r>
    <r>
      <rPr>
        <sz val="10"/>
        <rFont val="WenQuanYi Zen Hei"/>
        <family val="2"/>
      </rPr>
      <t xml:space="preserve">앉았다 일어서기</t>
    </r>
    <r>
      <rPr>
        <sz val="10"/>
        <rFont val="Arial"/>
        <family val="0"/>
        <charset val="1"/>
      </rPr>
      <t xml:space="preserve">), found by the retrial court.</t>
    </r>
  </si>
  <si>
    <t xml:space="preserve">Illegal arrest and detention found by the retrial court, which cited 24 hours at the police station without his being told he could refuse to go; police and prosecutors (December 2019) put the unlawful detention before the warrant at about 75 hours.</t>
  </si>
  <si>
    <r>
      <rPr>
        <sz val="10"/>
        <rFont val="Arial"/>
        <family val="0"/>
        <charset val="1"/>
      </rPr>
      <t xml:space="preserve">The retrial court found the radioisotope analysis erroneous and unreliable (</t>
    </r>
    <r>
      <rPr>
        <sz val="10"/>
        <rFont val="WenQuanYi Zen Hei"/>
        <family val="2"/>
      </rPr>
      <t xml:space="preserve">오류가 있음이 명백하다</t>
    </r>
    <r>
      <rPr>
        <sz val="10"/>
        <rFont val="Arial"/>
        <family val="0"/>
        <charset val="1"/>
      </rPr>
      <t xml:space="preserve">; </t>
    </r>
    <r>
      <rPr>
        <sz val="10"/>
        <rFont val="WenQuanYi Zen Hei"/>
        <family val="2"/>
      </rPr>
      <t xml:space="preserve">정확성이 떨어져 신뢰할 수 없다</t>
    </r>
    <r>
      <rPr>
        <sz val="10"/>
        <rFont val="Arial"/>
        <family val="0"/>
        <charset val="1"/>
      </rPr>
      <t xml:space="preserve">, as reported).</t>
    </r>
  </si>
  <si>
    <t xml:space="preserve">See 1a, 1b and 4c. The civil court (2022) found the police’s unlawful acts established; unlawful acts by the prosecutors were not proven.</t>
  </si>
  <si>
    <t xml:space="preserve">The Suwon District Prosecutors’ Office found the 1989 forensic report falsely prepared, with substituted samples and adjusted figures (opinion to the court, 2019-12-23); the retrial court and the police final report found statements falsely recorded.</t>
  </si>
  <si>
    <t xml:space="preserve">No finding located.</t>
  </si>
  <si>
    <t xml:space="preserve">His disability from childhood polio, which the retrial court weighed against the scene evidence, has no place in the factor list (D10).</t>
  </si>
  <si>
    <t xml:space="preserve">The retrial court found the other man’s confession highly credible (D4); the police final report attributed the offence to him.</t>
  </si>
  <si>
    <t xml:space="preserve">To police, 24–27 September 2019; repeated as a witness at the retrial, 2020-11-02.</t>
  </si>
  <si>
    <t xml:space="preserve">DNA matches in other Hwaseong cases (2019) led to the other man’s identification; prosecutors re-examined the 1989 radioisotope report (December 2019).</t>
  </si>
  <si>
    <t xml:space="preserve">Retrial petition prepared and argued by a team of lawyers (2019–2020).</t>
  </si>
  <si>
    <t xml:space="preserve">Police reinvestigation of the Hwaseong serial murders (2019–2020) and the Suwon District Prosecutors’ Office’s review of the eighth case (2019).</t>
  </si>
  <si>
    <t xml:space="preserve">Murder and rape resulting in death</t>
  </si>
  <si>
    <t xml:space="preserve">Final after the Supreme Court dismissed the final appeal [verify: date]; sentence served until parole in 2009</t>
  </si>
  <si>
    <t xml:space="preserve">Retrial acquittal, 2020-12-17; final the same day</t>
  </si>
  <si>
    <t xml:space="preserve">State-damages judgment holding the state liable for the police’s unlawful acts, with the Ministry of Justice’s acceptance of responsibility in deciding not to appeal (D1)</t>
  </si>
  <si>
    <t xml:space="preserve">The commutation and parole were not tied to innocence</t>
  </si>
  <si>
    <t xml:space="preserve">Retrial judgment cited by case number; damages judgment and Ministry of Justice notice as reported [verify: damages case number]</t>
  </si>
  <si>
    <t xml:space="preserve">JUR-KOR-01 (new; draft in Appendix A).</t>
  </si>
  <si>
    <t xml:space="preserve">EXCLUDED</t>
  </si>
  <si>
    <t xml:space="preserve">Inclusion: EXCLUDED at Finality · Verify with: no Hong Kong co-developer yet</t>
  </si>
  <si>
    <t xml:space="preserve">Conspiracy to rob · Hong Kong · Conviction quashed on ordinary appeal, 2015 · Not included</t>
  </si>
  <si>
    <t xml:space="preserve">JUR-HKG-01</t>
  </si>
  <si>
    <t xml:space="preserve">HKSAR v A (CACC 400/2013)</t>
  </si>
  <si>
    <t xml:space="preserve">English</t>
  </si>
  <si>
    <t xml:space="preserve">HKSAR v A; compensation claim: A v Secretary for Justice [2020] HKCFI 427</t>
  </si>
  <si>
    <t xml:space="preserve">About 2.8 (33 months in custody, probably including remand before trial, until bail pending appeal in July 2015; HKU press release)</t>
  </si>
  <si>
    <t xml:space="preserve">Fixed term: 8½ years’ imprisonment</t>
  </si>
  <si>
    <t xml:space="preserve">Court of First Instance of the High Court, jury trial [verify: date]; appeal: Court of Appeal</t>
  </si>
  <si>
    <t xml:space="preserve">Witness testimony (a key prosecution witness) [verify: other evidence]</t>
  </si>
  <si>
    <t xml:space="preserve">Not final — the conviction was quashed on his own appeal, within the ordinary appellate process</t>
  </si>
  <si>
    <t xml:space="preserve">In A v Secretary for Justice [2020] HKCFI 427 the Court of First Instance held that A had not been convicted by a “final decision” within the meaning of article 11(5) of the Hong Kong Bill of Rights, because his conviction was reversed or quashed on appeal in the ordinary course of the domestic appellate process (Department of Justice summary). The holding concerns the statutory compensation route; ARWC’s criterion draws the same line.</t>
  </si>
  <si>
    <t xml:space="preserve">A was convicted by a jury in the Court of First Instance of conspiring with another person to commit robbery, and was sentenced to eight and a half years’ imprisonment [verify: date of conviction].</t>
  </si>
  <si>
    <t xml:space="preserve">The police had not disclosed before trial telephone records that, in the University of Hong Kong’s account, contradicted the key prosecution witness and supported A’s innocence; the Department of Justice’s summary of the later judgment says the undisclosed evidence would very likely have led the jury to acquit. He was granted bail pending his appeal (CACC 400/2013) in July 2015, after 33 months in custody.</t>
  </si>
  <si>
    <t xml:space="preserve">On 16 September 2015 the Court of Appeal quashed the conviction on the Department of Justice’s concession; the director of the University of Hong Kong’s clinical legal education programme acted for him as solicitor advocate. A then applied for compensation under article 11(5) of the Bill of Rights and under the government’s ex gratia scheme. The Deputy Solicitor General (Policy Affairs) refused both, the second under the scheme’s guideline that compensation may be refused where there is “serious doubt about the claimant’s innocence”. A sought judicial review of both decisions. On 11 March 2020 the Court of First Instance dismissed the application, holding that he had not been convicted by a “final decision” within the meaning of article 11(5), which mirrors article 14(6) of the ICCPR, because his conviction had been quashed on appeal in the ordinary course.</t>
  </si>
  <si>
    <t xml:space="preserve">Quashed on ordinary appeal; the 2020 judgment reads “final decision” in article 11(5) the same way</t>
  </si>
  <si>
    <t xml:space="preserve">No action after finality: the conviction was quashed on ordinary appeal</t>
  </si>
  <si>
    <t xml:space="preserve">Department of Justice summary of A v Secretary for Justice [2020] HKCFI 427 [verify: full judgment]; HKU press release on the appeal</t>
  </si>
  <si>
    <t xml:space="preserve">Fails Finality; kept in the exclusion log as a worked example of the criterion</t>
  </si>
  <si>
    <t xml:space="preserve">No widely known Hong Kong reversal passes the finality criterion. The best known, Donald Tsang’s conviction for misconduct in public office, quashed by the Court of Final Appeal on 26 June 2019, and the convictions of three former leaders of the Hong Kong Alliance in Support of Patriotic Democratic Movements of China, quashed by the same court on 6 March 2025, came on ordinary appeal, and both turned on legal error rather than innocence. This case is coded instead because a later judgment answered the question the criterion asks: whether a conviction quashed on appeal was ever a final one.
JUR-HKG-01 (new; draft in Appendix A).
Sections E, G and H are not coded for a case that fails at Finality. For the record, the corrective act was the Court of Appeal’s judgment of 2015-09-16 quashing the conviction on the Department of Justice’s concession (CACC 400/2013) [verify: whether a retrial was ordered: not reported]. Had the case been final, it would have been coded 4a (suppression of exculpatory evidence).
What an included Hong Kong case would need
A Hong Kong case would qualify only if the conviction was corrected after the appeal had been dismissed or the time to appeal had run out: on a referral by the Chief Executive to the Court of Appeal under section 83P of the Criminal Procedure Ordinance (Cap. 221), on an appeal allowed out of time (D11), or by a pardon granted on grounds of innocence. The government’s ex gratia scheme is framed around the same routes: its guideline 4(a) covers a conviction quashed after a Chief Executive referral or on an appeal out of time (Department of Justice, 2014). The Department reported nine applications under the scheme in five years, seven of them rejected, without saying which routes they came through. No confirmed post-finality case was found; the nearest is a petition asking the Chief Executive to pardon or refer a case, which was refused (Ch’ng Poh, reported in 2004). Finding such cases needs a search of the Judiciary’s Legal Reference System, which could not be reached from here, and a Hong Kong contributor.</t>
  </si>
  <si>
    <t xml:space="preserve">Second set</t>
  </si>
  <si>
    <t xml:space="preserve">Inclusion: INCLUDED, Category A · Documentation: PASS · Verify with: no co-developer for India yet</t>
  </si>
  <si>
    <t xml:space="preserve">Murder, gang rape and dacoity · India (Nashik district, Maharashtra) · Final 2009 · Correction 2019</t>
  </si>
  <si>
    <t xml:space="preserve">JUR-IND-01</t>
  </si>
  <si>
    <t xml:space="preserve">Ankush Maruti Shinde and others v. State of Maharashtra</t>
  </si>
  <si>
    <t xml:space="preserve">Ankush Maruti Shinde and others v. State of Maharashtra (Nashik dacoity, murder and gang-rape case, 2003)</t>
  </si>
  <si>
    <t xml:space="preserve">Ankush Maruti Shinde: Ankush Maruti Shinde (as in the judgments, which are in English) [verify: Marathi (Devanagari) spelling] | Rajya Appa Shinde: Rajya Appa Shinde (as in the judgments) [verify: Marathi (Devanagari) spelling] | Ambadas Laxman Shinde: Ambadas Laxman Shinde (as in the judgments) [verify: Marathi (Devanagari) spelling] | Raju Mhasu Shinde: Raju Mhasu Shinde (as in the judgments) [verify: Marathi (Devanagari) spelling] | Bapu Appa Shinde: Bapu Appa Shinde (as in the judgments) [verify: Marathi (Devanagari) spelling] | Surya alias Suresh Shinde: Surya alias Suresh, son of Nagu alias Gangaram Shinde (2019 judgment’s list of accused) [verify: surname spelled “Sinde” in the text as extracted; Marathi (Devanagari) spelling]</t>
  </si>
  <si>
    <t xml:space="preserve">Ankush Maruti Shinde: Ankush Maruti Shinde | Rajya Appa Shinde: Rajya Appa Shinde | Ambadas Laxman Shinde: Ambadas Laxman Shinde | Raju Mhasu Shinde: Raju Mhasu Shinde | Bapu Appa Shinde: Bapu Appa Shinde | Surya alias Suresh Shinde: Surya alias Suresh Shinde</t>
  </si>
  <si>
    <t xml:space="preserve">Ankush Maruti Shinde: Male | Rajya Appa Shinde: Male | Ambadas Laxman Shinde: Male | Raju Mhasu Shinde: Male | Bapu Appa Shinde: Male | Surya alias Suresh Shinde: Male</t>
  </si>
  <si>
    <t xml:space="preserve">Ankush Maruti Shinde: Unknown [verify: date of birth]. Reported to have been found to be a juvenile, that is under 18 at the offence in June 2003 (ThePrint, 2019-03-06, citing the judgment); the 2019 judgment says one of the accused was 17 without naming him (para 9.4). First-instance judgment 2006-06-12 (D8). | Rajya Appa Shinde: Unknown [verify: date of birth] (the 2019 judgment says two of the accused were “around 20 years” without naming them; para 9.4). First-instance judgment 2006-06-12 (D8). | Ambadas Laxman Shinde: Unknown [verify: date of birth] (see B2 on para 9.4). First-instance judgment 2006-06-12 (D8). | Raju Mhasu Shinde: Unknown [verify: date of birth] (see B2 on para 9.4). First-instance judgment 2006-06-12 (D8). | Bapu Appa Shinde: Unknown [verify: date of birth] (see B2 on para 9.4). First-instance judgment 2006-06-12 (D8). | Surya alias Suresh Shinde: Unknown [verify: date of birth] (see B2 on para 9.4). First-instance judgment 2006-06-12 (D8).</t>
  </si>
  <si>
    <t xml:space="preserve">Ankush Maruti Shinde: No | Rajya Appa Shinde: No | Ambadas Laxman Shinde: No | Raju Mhasu Shinde: No | Bapu Appa Shinde: No | Surya alias Suresh Shinde: No</t>
  </si>
  <si>
    <t xml:space="preserve">Ankush Maruti Shinde: — | Rajya Appa Shinde: — | Ambadas Laxman Shinde: — | Raju Mhasu Shinde: — | Bapu Appa Shinde: — | Surya alias Suresh Shinde: —</t>
  </si>
  <si>
    <t xml:space="preserve">Ankush Maruti Shinde: 8.5–9.5 (computed range) | Rajya Appa Shinde: 15.7 | Ambadas Laxman Shinde: 15.7 | Raju Mhasu Shinde: 15.7 | Bapu Appa Shinde: 15.7 | Surya alias Suresh Shinde: 14.4</t>
  </si>
  <si>
    <t xml:space="preserve">Ankush Maruti Shinde: Yes (detained 2003-06-23; released in 2012 after being declared a juvenile, per counsel’s submission recorded in the 2019 judgment, para 5.49, with his identity as reported by ThePrint; 3,114–3,479 days depending on the release date) [verify: release date and the authority that declared him a juvenile] | Rajya Appa Shinde: Yes (detained 2003-06-23; computed to the acquittal on 2019-03-05, 5,734 days; release date not found) [verify: release date] | Ambadas Laxman Shinde: Yes (detained 2003-06-27; computed to the acquittal on 2019-03-05, 5,730 days; release date not found) [verify: release date] | Raju Mhasu Shinde: Yes (detained 2003-06-27; computed to the acquittal on 2019-03-05, 5,730 days; release date not found) [verify: release date] | Bapu Appa Shinde: Yes (detained 2003-06-27; computed to the acquittal on 2019-03-05, 5,730 days; release date not found) [verify: release date] | Surya alias Suresh Shinde: Yes (detained 2004-10-07; computed to the acquittal on 2019-03-05, 5,262 days; release date not found) [verify: release date]</t>
  </si>
  <si>
    <t xml:space="preserve">Homicide; sexual offense; robbery (dacoity); assault (attempted murder)</t>
  </si>
  <si>
    <t xml:space="preserve">Indian Penal Code, 1860, ss. 302 r/w 34, 307 r/w 34, 376(2)(g), 395, 396, 397 r/w 395 and 398 (convictions at trial as summarised in the 2019 judgment) [verify: charges as framed]</t>
  </si>
  <si>
    <t xml:space="preserve">Murder and attempted murder with common intention; gang rape; dacoity; dacoity with murder; dacoity with attempt to cause death or grievous hurt; attempting dacoity armed with a deadly weapon</t>
  </si>
  <si>
    <t xml:space="preserve">Death (immediate) for all six as finally imposed (Supreme Court, 2009-04-30), with concurrent terms of imprisonment for the other offences. The trial court sentenced all six to death; the High Court confirmed death for A1, A2 and A4 and commuted it to life imprisonment for A3, A5 and A6 (2007-03-22); the Supreme Court restored death for A3, A5 and A6 on the State’s appeal.</t>
  </si>
  <si>
    <t xml:space="preserve">Court of the 3rd Ad-hoc Additional Sessions Judge, Nashik, Sessions Case No. 43 of 2004 (judgment 2006-06-12); confirmation and appeal: High Court of Judicature at Bombay, Confirmation Case No. 2 of 2006 with Criminal Appeal No. 590 of 2006 (2007-03-22); Supreme Court of India, Criminal Appeal Nos. 1008–1009 of 2007 and 881–882 of 2009 (2009-04-30)</t>
  </si>
  <si>
    <t xml:space="preserve">Eyewitness identification (principal: the two injured survivors, PW1 and PW8, at test identification parades on 2003-07-25 for A1–A5 and 2004-10-09 for A6, and in court); other: medical evidence of the injuries and of rape; a white-metal chain said to have been seized from the house of A5’s mother on 2003-06-26 [verify: weight given by the trial court]. No fingerprint or DNA evidence linked the accused (2019 judgment, para 9.7).</t>
  </si>
  <si>
    <t xml:space="preserve">7 (5 killed, 2 injured)</t>
  </si>
  <si>
    <t xml:space="preserve">Mixed (a minor among those killed; adults among the killed and injured)</t>
  </si>
  <si>
    <t xml:space="preserve">Stranger (as alleged: a night-time dacoity by a gang; identification rested on test identification parades)</t>
  </si>
  <si>
    <t xml:space="preserve">No (D4). The Court directed further investigation concerning four other men whom PW8 had picked out from police photograph albums on 2003-06-07 (as reported) [verify: outcome]; they are not named here.</t>
  </si>
  <si>
    <t xml:space="preserve">Not applicable</t>
  </si>
  <si>
    <t xml:space="preserve">A night-time attack on one household in Nashik district on 2003-06-05/06: five killed and two injured. The two injured survivors were the prosecution’s identifying witnesses (PW1 and PW8).</t>
  </si>
  <si>
    <t xml:space="preserve">Ordinary appeals completed (appellate judgment issued): Supreme Court of India, 2009-04-30 — Criminal Appeal Nos. 1008–1009 of 2007 (A1, A2 and A4) dismissed; Criminal Appeal Nos. 881–882 of 2009 (State) allowed, restoring death for A3, A5 and A6</t>
  </si>
  <si>
    <t xml:space="preserve">Year: 2009 | Month: 04 | Day: 30 | Precision: day</t>
  </si>
  <si>
    <t xml:space="preserve">The Supreme Court’s judgment of 2009-04-30 ended the ordinary appeals for all six; A3, A5 and A6 had not appealed against their convictions, which the High Court affirmed on 2007-03-22, and were permitted to do so only when the 2009 judgment was recalled on review in 2018. Review petitions against the 2009 judgment were first dismissed [verify: date].</t>
  </si>
  <si>
    <t xml:space="preserve">Action 1 — Supreme Court acquittal after recall of its final judgment on review (Category A) · 2019-03-05 (precision: day)</t>
  </si>
  <si>
    <t xml:space="preserve">Yes — ordered in the acquittal judgment (as reported: LiveLaw; SCC Online blog; The Wire) [verify: operative paragraph; whether paid]</t>
  </si>
  <si>
    <t xml:space="preserve">5,00,000 / INR / 2019, to each of the six (INR 30,00,000 in all, computed); to be deposited within four weeks (SCC Online blog); described as damages (LiveLaw)</t>
  </si>
  <si>
    <t xml:space="preserve">Supreme Court of India (judgment of 2019-03-05); payable by the State of Maharashtra</t>
  </si>
  <si>
    <t xml:space="preserve">Yes in substance — ordered on the Court’s findings of an unfair investigation in breach of Articles 20 and 21 and, as reported, of false implication (D1); not coded as a separate B action because it forms part of the A judgment (D2, D17)</t>
  </si>
  <si>
    <t xml:space="preserve">On the night of 5–6 June 2003, at about 10.30 p.m., a gang attacked a household living in a hut in a guava orchard in Nashik district, Maharashtra. Five people were killed and two injured; the charges included gang rape. The police arrested Ankush Maruti Shinde and Rajya Appa Shinde on 2003-06-23, Ambadas Laxman Shinde, Raju Mhasu Shinde and Bapu Appa Shinde on 2003-06-27, and Surya alias Suresh on 2004-10-07; the six are described in reports as poor labourers from nomadic tribes (ThePrint). The two injured survivors identified A1–A5 at a test identification parade on 2003-07-25, fifty days after the attack, and A6 at one on 2004-10-09. On 2006-06-12 the 3rd Ad-hoc Additional Sessions Judge, Nashik (Sessions Case No. 43 of 2004), convicted all six of murder, attempted murder, gang rape and dacoity offences and sentenced each to death. On 2007-03-22 the Bombay High Court confirmed the death sentences of A1, A2 and A4; for A3, A5 and A6 it set aside the gang-rape conviction and commuted death to life imprisonment. On 2009-04-30 a two-judge bench of the Supreme Court dismissed the appeals of A1, A2 and A4 and allowed the State’s appeals, restoring the death sentences of A3, A5 and A6, so that all six stood sentenced to death.</t>
  </si>
  <si>
    <t xml:space="preserve">A1, A2 and A4 sought review of the 2009 judgment in Review Petition (Crl.) Nos. 34–35 of 2010, and A3, A5 and A6 in Nos. 18–19 of 2011. The petitions were dismissed [verify: date, and whether by circulation]. After the Constitution Bench decision in Mohd. Arif v. Registrar, Supreme Court of India (2014), applications to reopen them were filed (Crl. M.P. Nos. 7008–09 of 2016) and the petitions were heard in open court by three judges. The bench found that A3, A5 and A6 had had no opportunity to be heard before the State’s appeals for enhancement were decided: an amicus curiae had been appointed on 2008-12-10, heard, and judgment reserved the same day, and the three had been deprived of the chance to engage counsel and make submissions (order of 2018-10-31). Counsel also argued that the 2009 sentencing relied on Ravji v. State of Rajasthan (1996), said to have been decided per incuriam (LiveLaw). On the rehearing, the trial record itself supplied the grounds: the survivors had lost consciousness during the attack and gave the police no description of the attackers beyond putting their ages at 25 to 30 and saying they spoke Hindi, whereas the accused were Marathi speakers, one aged 17 and two about 20; and on 2003-06-07 PW8 had picked out four other men, none of them among the accused, from police photograph albums of known offenders, a statement that was not acted on (2019 judgment, paras 9.4–11.1).</t>
  </si>
  <si>
    <t xml:space="preserve">On 2018-10-31 the three-judge bench allowed the review petitions, recalled the 2009 judgment for all six, restored the appeals for a fresh hearing, permitted A3, A5 and A6 to appeal against the High Court’s judgment and suspended the execution of the death sentences of A1, A2 and A4. On 2019-03-05 a differently composed three-judge bench acquitted all six of all charges. It held it unsafe to convict on the survivors’ identification; found that the investigating officer, the Special Executive Magistrate (PW13) and PW8 had suppressed PW8’s statement of 2003-06-07, and that nothing showed the four men she then named had been arrested or investigated; noted that the fingerprint report did not implicate the accused; said that “false implication cannot be ruled out”; and held that serious lapses by the investigating agency had violated the accused’s rights under Articles 20 and 21. As reported, it ordered the State of Maharashtra to pay ₹5,00,000 to each of the six within four weeks, directed the Chief Secretary (Home Department) to enquire and take departmental action within three months against erring officers still in service, and directed further investigation under s. 173(8) CrPC concerning the four men [verify: operative paragraph]. By then one of the six, reported to be Ankush Maruti Shinde, had been released in 2012 after being declared a juvenile; the others had been in custody for about sixteen years. Whether the compensation was paid, what the inquiry found and what the further investigation produced are not known [verify].</t>
  </si>
  <si>
    <t xml:space="preserve">The Court held it unsafe to convict on the identification of the accused by PW1 and PW8 at the test identification parades and in court (2019 judgment, para 9.6).</t>
  </si>
  <si>
    <t xml:space="preserve">The Court weighed the delays before the parades (50 days for A1–A5; more than a year for A6) but made no finding that the procedure was suggestive (D3).</t>
  </si>
  <si>
    <t xml:space="preserve">The courts below relied on the identifications although the survivors had lost consciousness during the attack, gave no description of the attackers, put their ages at 25–30 and said they spoke Hindi, and PW8 had earlier picked out four other men (2019 judgment, paras 9.4–9.6, 11).</t>
  </si>
  <si>
    <t xml:space="preserve">“A serious lapse on the part of the investigating agency, which has affected the fair investigation and fair trial”, held to violate Articles 20 and 21 (2019 judgment, para 11.1).</t>
  </si>
  <si>
    <t xml:space="preserve">The investigating officer, the Special Executive Magistrate (PW13) and PW8 “suppressed from the court” PW8’s statement of 2003-06-07 identifying four other men (2019 judgment, para 11).</t>
  </si>
  <si>
    <t xml:space="preserve">Nothing on record showed that the four men PW8 named on 2003-06-07 were arrested or investigated (2019 judgment, para 11.1); the investigating officer admitted the fingerprint report did not implicate the accused (para 9.7).</t>
  </si>
  <si>
    <t xml:space="preserve">The Court included PW8 among those who suppressed her earlier statement (para 11), but made no finding of perjury or false accusation (D3).</t>
  </si>
  <si>
    <t xml:space="preserve">Reports quote the Court as saying the accused were from nomadic tribes and falsely implicated (ThePrint; SCC Online blog); no finding that their community status contributed to the conviction (D3).</t>
  </si>
  <si>
    <t xml:space="preserve">Codes marked rest on the Supreme Court’s findings of 2019-03-05 (paras 9–11.1); the operative paragraph was read only as reported.</t>
  </si>
  <si>
    <t xml:space="preserve">No. The Court directed further investigation concerning four other men (as reported); no outcome found (D4).</t>
  </si>
  <si>
    <t xml:space="preserve">The Court relied on material in the trial record, including PW13’s evidence of PW8’s statement of 2003-06-07, which it treated as suppressed rather than new [verify: whether the statement itself was first produced on the rehearing].</t>
  </si>
  <si>
    <t xml:space="preserve">No source ties media attention to the correction (D3).</t>
  </si>
  <si>
    <t xml:space="preserve">Open-court rehearing of review petitions in a death-sentence case, reopened after Mohd. Arif (2014), and the finding that A3, A5 and A6 had not been heard before their death sentences were restored (order of 2018-10-31).</t>
  </si>
  <si>
    <t xml:space="preserve">Murder, attempted murder, gang rape and dacoity (Indian Penal Code)</t>
  </si>
  <si>
    <t xml:space="preserve">Supreme Court judgment of 2009-04-30 dismissing the appeals of A1, A2 and A4 and restoring death for A3, A5 and A6 on the State’s appeals</t>
  </si>
  <si>
    <t xml:space="preserve">Review allowed and the 2009 judgment recalled (2018-10-31); acquittal of all six on the reheard appeals (2019-03-05)</t>
  </si>
  <si>
    <t xml:space="preserve">Supreme Court acquittal after recall of its own final judgment on review</t>
  </si>
  <si>
    <t xml:space="preserve">Compensation and directions against officers were ordered in the acquittal judgment itself and are treated as part of the A action (D1, D2, D17); no separate State instrument found</t>
  </si>
  <si>
    <t xml:space="preserve">Supreme Court judgment of 2019-03-05 and order of 2018-10-31, both on the Supreme Court’s website; 2009 judgment read as reproduced by Indian Kanoon</t>
  </si>
  <si>
    <t xml:space="preserve">JUR-IND-01 (new; draft in Appendix A).</t>
  </si>
  <si>
    <t xml:space="preserve">Inclusion: INCLUDED, Category A · Documentation: PASS · Verify with: no co-developer for Israel yet</t>
  </si>
  <si>
    <t xml:space="preserve">Murder · Israel (Katzrin) · Final 2015 · Retrial acquittal 2023</t>
  </si>
  <si>
    <t xml:space="preserve">JUR-ISR-01</t>
  </si>
  <si>
    <t xml:space="preserve">מדינת ישראל נ׳ רומן זדורוב, תפ״ח 502-07 (בית המשפט המחוזי בנצרת)</t>
  </si>
  <si>
    <t xml:space="preserve">Hebrew</t>
  </si>
  <si>
    <t xml:space="preserve">State of Israel v. Roman Zadorov (Katzrin school murder; conviction 2010, retrial acquittal 2023)</t>
  </si>
  <si>
    <t xml:space="preserve">רומן זדורוב (Hebrew, as in the court’s decisions); Роман Задоров in Russian-language Israeli press</t>
  </si>
  <si>
    <t xml:space="preserve">Roman Zadorov; an immigrant from Ukraine (ynetnews, 2021-08-26; JPost, 2023-03-30)</t>
  </si>
  <si>
    <t xml:space="preserve">33 or 34 at the first-instance judgment (2010-09-14), computed from his reported age of 44 on 2021-08-26 (ynetnews) [verify: date of birth; a birth year of 1978, as first described, is not confirmed and would not fit the reported age]</t>
  </si>
  <si>
    <t xml:space="preserve">14.7</t>
  </si>
  <si>
    <t xml:space="preserve">Yes (arrested about a week after the killing on 2006-12-06 (ynetnews, 2015-12-23; Kan, 2025-09-04), counted here from 2006-12-13 [verify: arrest date]; released to house arrest on 2021-08-26 (ynetnews); 5,371 days counting both ends. The house arrest with electronic monitoring from 2021-08-26 until the acquittal on 2023-03-30 is not counted)</t>
  </si>
  <si>
    <t xml:space="preserve">רצח, חוק העונשין, התשל״ז-1977 [verify: section and wording of the charge]</t>
  </si>
  <si>
    <t xml:space="preserve">Murder, Penal Law, 5737-1977</t>
  </si>
  <si>
    <t xml:space="preserve">Life imprisonment (JPost, 2023-03-30; Israel Hayom, 2025-09-04) [verify: date of the sentence]</t>
  </si>
  <si>
    <t xml:space="preserve">Nazareth District Court (בית המשפט המחוזי בנצרת), three-judge panel, תפ״ח 502-07 (external file 98/07): conviction 2010-09-14 (ynetnews); after the Supreme Court’s remand in 2013 to hear further expert evidence, the same court upheld the conviction in 2014 (ynetnews, 2015-12-23) [verify: dates of the remand and of the 2014 judgment]</t>
  </si>
  <si>
    <t xml:space="preserve">Confession (with a re-enactment): the court held that he “knew at least seven details no one else could have known” (ynetnews, 2010-09-14); other (specify): his own testimony, held “abundant in lies, manipulations and inconsistencies” (same); forensic evidence (specify type) [verify: which forensic findings the 2010 and 2014 judgments relied on, e.g. the shoe print on the toilet-seat lid]; informant or witness testimony [verify: whether evidence from a police undercover agent in his cell was relied on]</t>
  </si>
  <si>
    <t xml:space="preserve">Unknown: he was working at the school she attended; the sources read do not establish any prior acquaintance</t>
  </si>
  <si>
    <t xml:space="preserve">No (D4). As reported, the majority at the retrial said that DNA evidence pointing to another person required further investigation (JPost, 2023-03-30); no court has found anyone else to be the offender.</t>
  </si>
  <si>
    <t xml:space="preserve">Not applicable (no actual perpetrator identified)</t>
  </si>
  <si>
    <t xml:space="preserve">A 13-year-old schoolgirl killed at her school in Katzrin on 2006-12-06 and found in a toilet stall. A woman publicly named as an alternative suspect, and the witnesses, are not named here.</t>
  </si>
  <si>
    <t xml:space="preserve">Ordinary appeals completed (appellate judgment issued): the Supreme Court dismissed his appeal by two to one</t>
  </si>
  <si>
    <t xml:space="preserve">Year: 2015 | Month: 12 | Day: 23 | Precision: day</t>
  </si>
  <si>
    <t xml:space="preserve">A request for a further hearing (דיון נוסף) before an expanded panel was rejected by the President of the Supreme Court in July 2016 (Walla, 2016-07-07) [verify: date and number]. I treated that discretionary route as not postponing finality (D15).</t>
  </si>
  <si>
    <t xml:space="preserve">Action 1 — Retrial acquittal by the Nazareth District Court (Category A) · 2023-03-30 (precision: day)</t>
  </si>
  <si>
    <t xml:space="preserve">Yes, as reported (settlement)</t>
  </si>
  <si>
    <t xml:space="preserve">NIS 17 million, 2025 (as reported): settlement announced 2025-09-04; payment reported 2025-12-09 (Kikar HaShabbat) [verify: exact sum and any breakdown]</t>
  </si>
  <si>
    <t xml:space="preserve">The State, through the State Attorney’s Office, by settlement of his civil claim, reached in mediation before a retired judge (Calcalist) and submitted to the Tel Aviv District Court for approval on 2025-09-04 (Israel Hayom; Kan) [verify: approval: date, file number]</t>
  </si>
  <si>
    <t xml:space="preserve">No (D1): a negotiated settlement; no admission of liability or acknowledgment of a wrongful conviction was reported, and the State Attorney’s Office declined to comment (Israel Hayom) [verify: settlement text]. See D18.</t>
  </si>
  <si>
    <t xml:space="preserve">On 6 December 2006 a 13-year-old schoolgirl was killed at her school in Katzrin and found in a toilet stall. Roman Zadorov, an immigrant from Ukraine who was working at the school, was arrested about a week later (ynetnews, 2015-12-23; Kan, 2025-09-04). Under interrogation he confessed and took part in a re-enactment, then retracted the confession within days (JPost, 2023-03-30). His defence maintained that the confession had been given under pressure and that its details had been fed to him by interrogators (ynetnews, 2015-12-23). The trial before a three-judge panel of the Nazareth District Court (תפ״ח 502-07) began in 2007 and heard more than 120 witnesses. On 14 September 2010 the court convicted him of murder, holding that he “knew at least seven details no one else could have known” and that his testimony was “abundant in lies, manipulations and inconsistencies” (ynetnews, 2010-09-14). He was sentenced to life imprisonment [verify: date of the sentence]. On his appeal the Supreme Court in 2013 sent the case back to the District Court to hear further expert evidence [verify: subject of the remand], and in 2014 the District Court again upheld the conviction (ynetnews, 2015-12-23). On 23 December 2015 the Supreme Court dismissed the appeal by two to one [verify: appeal number, reported as ע״פ 7939/10]. The dissenting justice would have acquitted on reasonable doubt, writing that “the collection of evidence casts a heavy shadow on the question of his innocence” and pointing to a cut on the victim’s body, the blood evidence and “unidentified shoeprints in the bathroom stall” (ynetnews, 2015-12-23). A request for a further hearing before an expanded panel was rejected by the President of the Supreme Court in an eleven-page decision in July 2016 (Walla, 2016-07-07).</t>
  </si>
  <si>
    <t xml:space="preserve">The doubts that divided the Supreme Court in 2015 concerned the fit between the confession and the physical evidence. As reported, experts had found that the wounds were made by a serrated blade, whereas his account was that he had used a utility knife, and the shoe prints in the stall could not be linked to him (ynetnews, 2015-12-23) [verify: these points as found in the judgments]. After the further-hearing route closed in 2016, his lawyers applied for a retrial (משפט חוזר) on new expert material [verify: filing date]. As the Nazareth District Court later summarised it, the retrial was granted on the strength of expert opinions on the seepage of blood on the shoe print found on the toilet-seat lid in the stall, on the finding of the victim’s bloodstain in the third toilet stall, and on an opinion on mitochondrial DNA testing (decision of 2021-06-02 at [35]). Reports of the retrial verdict add that a hair found at the scene did not match him and that its mitochondrial DNA was an inconclusive match to another person (JPost, 2023-03-30). The retrial decision also discussed indications concerning a woman, referred to in the decisions by initials, who had been publicly named as an alternative suspect. Citing that decision at [183]–[184], the District Court refused in June 2021 to take her testimony in advance, and it declined to act at that stage on a witness’s account of statements attributed to her (decision of 2021-06-02 at [36]–[37]). No court has found her, or anyone else, to be the offender.</t>
  </si>
  <si>
    <t xml:space="preserve">On 11 May 2021 the Deputy President of the Supreme Court ordered a retrial, directing that, as far as possible, no member of the original panel should sit (decision of 2021-06-02 at [4]); as reported, he found that the evidence presented by the defence raised a reasonable doubt (ynetnews, 2021-08-26) [verify: decision number (מ״ח), statutory ground and wording]. A new three-judge panel of the Nazareth District Court heard the case in the original file. On 3 August 2021 that court ordered his release to house arrest with electronic monitoring; the state appealed, and on 26 August 2021 the Supreme Court dismissed the appeal and ordered his immediate release on bail of NIS 150,000 (ynet, 2021-08-03; ynetnews, 2021-08-26). On 30 March 2023 the court acquitted him by two to one. The presiding judge held that the findings at the scene did not match the confession and that there was a substantial concern that it was false; the second majority judge described it as “nothing more than a hollow, weightless recitation of statements and scenarios”, given under heavy pressure. The dissenting judge found the evidence “cohesive, tightly woven and well-founded” and would have convicted (JPost; ice; Makor Rishon). On 14 May 2023 the State Attorney decided not to appeal, citing the reluctance of appellate courts to interfere with findings of fact and credibility (Walla; Makor Rishon). On 4 September 2025 the state agreed to pay him NIS 17 million in a settlement of his civil claim, submitted to the Tel Aviv District Court for approval (Israel Hayom; Kan); payment was reported in December 2025 (Kikar HaShabbat). No official admission of error has been found.</t>
  </si>
  <si>
    <t xml:space="preserve">The acquitting majority found the confession unreliable: the presiding judge held that the findings at the scene did not match it and that there was a substantial concern that it was false; the second majority judge called it “nothing more than a hollow, weightless recitation of statements and scenarios” (JPost, 2023-03-30; Makor Rishon). As reported; to be checked against the verdict [verify: paragraphs].</t>
  </si>
  <si>
    <t xml:space="preserve">The second majority judge is reported to have found that heavy pressure led him to believe he faced life imprisonment, and so to confess (Makor Rishon). One judge’s reasoning as summarised in the press; not marked until read in the verdict (D3) [verify: verdict].</t>
  </si>
  <si>
    <t xml:space="preserve">The retrial was ordered on new expert opinions on the blood on the shoe print, the location of the victim’s blood and mitochondrial DNA (decision of 2021-06-02 at [35]), and reports of the verdict mention unattributed shoe prints, a hair that did not match him and a dispute over the knife (JPost). A finding that the original forensic evidence was erroneous is not confirmed (D3) [verify: verdict].</t>
  </si>
  <si>
    <t xml:space="preserve">Reports mention criticism of the investigation and prosecution by the majority judges (Makor Rishon); no specific finding of misconduct confirmed (D3) [verify: verdict].</t>
  </si>
  <si>
    <t xml:space="preserve">The role of a police undercover agent placed in his cell could not be checked; nothing on it was found in the sources read (D3) [verify: 2010 judgment and 2023 verdict].</t>
  </si>
  <si>
    <t xml:space="preserve">Factor 1 is marked on the majority’s findings as reported in the press; the text of the 2023 verdict was not read.</t>
  </si>
  <si>
    <t xml:space="preserve">No court has found another person to be the offender (D4).</t>
  </si>
  <si>
    <t xml:space="preserve">A witness’s account of statements attributed to the woman publicly named as an alternative suspect was raised in the retrial proceedings (decision of 2021-06-02 at [37]); no court has relied on it as a confession (D3; D4).</t>
  </si>
  <si>
    <t xml:space="preserve">The retrial was ordered on expert opinions about the seepage of blood on the shoe print on the toilet-seat lid, the victim’s bloodstain in the third stall and mitochondrial DNA testing (Nazareth District Court, decision of 2021-06-02 at [35]).</t>
  </si>
  <si>
    <t xml:space="preserve">His lawyers applied for the retrial and presented the evidence on which it was granted (ynetnews, 2021-08-26) [verify: counsel; whether the Public Defender or any innocence organisation took part].</t>
  </si>
  <si>
    <t xml:space="preserve">The case was widely covered; no source read ties the coverage to the correction (D3).</t>
  </si>
  <si>
    <t xml:space="preserve">Murder (רצח), Nazareth District Court, תפ״ח 502-07, conviction 2010-09-14; life imprisonment</t>
  </si>
  <si>
    <t xml:space="preserve">Appeal dismissed by the Supreme Court, two to one, on 2015-12-23; further-hearing request rejected in July 2016 (D15)</t>
  </si>
  <si>
    <t xml:space="preserve">Retrial ordered by the Deputy President of the Supreme Court on 2021-05-11; retrial acquittal by the Nazareth District Court on 2023-03-30; state decided on 2023-05-14 not to appeal</t>
  </si>
  <si>
    <t xml:space="preserve">Retrial acquittal (majority of two to one)</t>
  </si>
  <si>
    <t xml:space="preserve">NIS 17 million settlement with no reported admission (D1); the decision not to appeal rests on appellate restraint, not on an admission</t>
  </si>
  <si>
    <t xml:space="preserve">Nazareth District Court decision of 2021-06-02 in תפ״ח 502-07 (gov.il), recording the retrial order and its grounds; the 2023 verdict cited by file number (text not read) and reported by several outlets</t>
  </si>
  <si>
    <t xml:space="preserve">JUR-ISR-01 (new; draft in Appendix A).</t>
  </si>
  <si>
    <t xml:space="preserve">Inclusion: INCLUDED, Category B · Documentation: PASS (opinion traceable by number; official text not yet read) · Verify with: no co-developer for Pakistan yet</t>
  </si>
  <si>
    <t xml:space="preserve">Murder (conspiracy and abetment; capital charge) · Pakistan (Lahore) · Final 1979 · Supreme Court advisory opinion 2024</t>
  </si>
  <si>
    <t xml:space="preserve">JUR-PAK-01</t>
  </si>
  <si>
    <t xml:space="preserve">Reference No. 1 of 2011 (Reference by the President under Article 186 of the Constitution); Zulfikar Ali Bhutto v. The State (Supreme Court, 1979) [verify: exact titles and case numbers of the 1978 and 1979 judgments]</t>
  </si>
  <si>
    <t xml:space="preserve">Bhutto case (murder conviction 1978–79; presidential reference, opinion 2024)</t>
  </si>
  <si>
    <t xml:space="preserve">ذوالفقار علی بھٹو (Urdu; the court records are in English) [verify: script spelling to be confirmed by a co-developer]</t>
  </si>
  <si>
    <t xml:space="preserve">Zulfikar Ali Bhutto (also spelled Zulfiqar); former Prime Minister of Pakistan</t>
  </si>
  <si>
    <t xml:space="preserve">50 (first-instance judgment, 1978-03-18); born 1928-01-05 in Larkana (Chief Minister’s Office, Government of Sindh, press release). Computed; 51 at execution</t>
  </si>
  <si>
    <t xml:space="preserve">1979-04-04 (hanged in Rawalpindi jail at about 2 a.m., as reported: Dawn; date also The News and Geo, 2024)</t>
  </si>
  <si>
    <t xml:space="preserve">1.6 (custody from arrest to execution)</t>
  </si>
  <si>
    <t xml:space="preserve">Yes (arrested 1977-09-03 (Dawn); executed 1979-04-04; 579 days counting both ends. The case brief mentions a re-arrest on 1977-09-17, which would imply a short release in September 1977; not confirmed and not deducted) [verify: dates of any release on bail and re-arrest in September 1977]</t>
  </si>
  <si>
    <t xml:space="preserve">Yes (the correcting opinion was given almost 45 years after the execution)</t>
  </si>
  <si>
    <t xml:space="preserve">Pakistan Penal Code: s 302 (murder), s 120 (criminal conspiracy) and s 109 (abetment), as reported at his arrest on 1977-09-03 (Dawn). English is the language of the proceedings [verify: sections in the charge as framed and in the conviction; whether s 120-B]</t>
  </si>
  <si>
    <t xml:space="preserve">Murder by criminal conspiracy and abetment: the shooting dead of a man in November 1974; a capital charge</t>
  </si>
  <si>
    <t xml:space="preserve">Death (immediate): sentenced to death by the Lahore High Court on 1978-03-18, with a fine of Rs 25,000 (Dawn); upheld on appeal 1979-02-06; executed 1979-04-04</t>
  </si>
  <si>
    <t xml:space="preserve">Lahore High Court, sitting as the trial court instead of a Court of Session (Dawn; separate note reported by Dunya News): five judges, presided over by the High Court’s Chief Justice; trial opened 1977-10-11; judgment 1978-03-18 (Dawn) [verify: case number; order transferring the trial and its legal basis]</t>
  </si>
  <si>
    <t xml:space="preserve">Informant or witness testimony: the evidence of an approver (an accomplice pardoned to testify) who had headed the Federal Security Force was the key evidence; a second approver was also pardoned; the prosecution called 42 witnesses (Dawn) [verify: evidence relied on in the judgment, including any confessions of co-accused and documentary evidence]</t>
  </si>
  <si>
    <t xml:space="preserve">1 (killed) [verify: whether anyone else was injured]</t>
  </si>
  <si>
    <t xml:space="preserve">Unknown (no personal relationship is documented in the sources read) [verify: motive and intended target as stated in the 1978–79 judgments]</t>
  </si>
  <si>
    <t xml:space="preserve">No (D4). No court or authority has found another person to be the offender; four co-accused were convicted at the same trial (Dawn).</t>
  </si>
  <si>
    <t xml:space="preserve">The deceased was shot dead by unknown assailants in November 1974 while returning home from a wedding; the first information report was registered on 1974-11-11 (Dawn). The deceased and his family, the four co-accused, the two approvers and the witnesses are not named.</t>
  </si>
  <si>
    <t xml:space="preserve">Ordinary appeals completed (appellate judgment issued): the Supreme Court dismissed his appeal on 1979-02-06 by four to three, and dismissed his review petition on 1979-03-24 (Dawn)</t>
  </si>
  <si>
    <t xml:space="preserve">Year: 1979 | Month: 03 | Day: 24 | Precision: day</t>
  </si>
  <si>
    <t xml:space="preserve">Coded at the dismissal of the review petition because the 2024 short opinion states that the judgment “attain[ed] finality after the dismissal of the review petition” (as reported by Geo); dated from the appellate judgment, finality would be 1979-02-06. He was executed eleven days after the review was dismissed.</t>
  </si>
  <si>
    <t xml:space="preserve">Action 1 — Supreme Court opinion on Presidential Reference No. 1 of 2011 (Category B) · 2024-03-06 (precision: day): short opinion; detailed reasons 2024-07-08 (as reported) [verify: date on the official document]</t>
  </si>
  <si>
    <t xml:space="preserve">Unknown: none reported</t>
  </si>
  <si>
    <t xml:space="preserve">— (no compensation decision found)</t>
  </si>
  <si>
    <t xml:space="preserve">Zulfikar Ali Bhutto, born in Larkana on 5 January 1928 (Government of Sindh), was a former Prime Minister of Pakistan when the case was brought. In November 1974 a man was shot dead by unknown assailants while returning home from a wedding; the first information report was registered on 11 November 1974 (Dawn). After martial law was imposed in July 1977, Bhutto was arrested at his Karachi residence on 3 September 1977 and charged under sections 302, 120 and 109 of the Pakistan Penal Code (murder, criminal conspiracy and abetment) for the killing (Dawn). The case was tried not by a Court of Session but by the Lahore High Court, before five judges presided over by the High Court’s Chief Justice (Dawn; a separate note reported by Dunya News). The trial opened on 11 October 1977. The prosecution called 42 witnesses, chief among them an approver who had headed the Federal Security Force; Bhutto boycotted the proceedings from 9 January 1978 and declined counsel (Dawn). On 18 March 1978 the court convicted him and four co-accused and sentenced all five to death, Bhutto also being fined Rs 25,000; two approvers were pardoned (Dawn). On 6 February 1979 a seven-judge bench of the Supreme Court dismissed his appeal by four votes to three. His review petition, filed on 13 February 1979, was dismissed on 24 March 1979; the President declined to intervene, and Bhutto was hanged in Rawalpindi jail in the early hours of 4 April 1979 (Dawn; The News). The sources read do not cover the outcome for the co-accused [verify: appeals and sentences of the four co-accused].</t>
  </si>
  <si>
    <t xml:space="preserve">The grounds for correction did not come from new evidence about the killing but from the conditions under which Bhutto was tried. The trial and the appeal took place under martial law, with fundamental rights suspended from 5 July 1977 (as quoted in the 2024 reasons, Business Recorder). In its detailed reasons the Supreme Court held that “the trial was conducted and the appeal heard” without Bhutto “having the constitutional protection of the fundamental rights”, and that the trial and appellate courts “were not true courts under the Constitution, and the country was captive to Martial Law and so too were its courts”. It found “self-expressed prejudice and bias” in the trial court’s gratuitous remarks about Bhutto’s beliefs and character, and adulation of the martial-law ruler in the appellate judgment; it observed that the ruler “would be the direct beneficiary of a guilty verdict”, since an acquitted Bhutto might have prosecuted him for high treason (The News; Business Recorder; The Nation). Any one of these transgressions, it said, “may have vitiated the trial and the conviction”, and “cumulatively they destroyed any semblance of due process and fair trial” (The Nation; Business Recorder). Two members of the bench added separate notes. One of them, by then Chief Justice, found in a five-page note reported on 18 December 2024 that “manipulation of the bench composition undermined judicial impartiality”, relying on later statements by one of the 1979 majority judges about the trial court’s presiding judge and about how the appeal bench was composed (Dawn). A 24-page note by the other, reported on 1 February 2026, held that a death sentence resting solely on approver testimony violated fundamental legal and moral principles and found personal bias among the judges (Dunya News).</t>
  </si>
  <si>
    <t xml:space="preserve">On 2 April 2011 the President referred questions about the Bhutto trial to the Supreme Court under Article 186 of the Constitution, the court’s advisory jurisdiction (The News; Geo; Dawn) [verify: text of Article 186]. An 11-member bench under the then Chief Justice held five hearings (The News) [verify: hearing dates]; the reference then lay unheard until a nine-member bench headed by the Chief Justice took it up on 12 December 2023 (The News). On 6 March 2024 the Chief Justice announced the bench’s unanimous short opinion (Dawn; The News). On the first question it advised that “the proceedings of the trial by the Lahore High Court and of the appeal by the Supreme Court of Pakistan do not meet the requirements of the fundamental right to a fair trial and due process enshrined in Articles 4 and 9 of the Constitution” (Dawn), a right later guaranteed separately by Article 10A (The News). It added that the Constitution and the law provide no mechanism to set aside the judgment, which attained finality when the review petition was dismissed, and that in its advisory jurisdiction it “cannot reappraise the evidence and undo the decision of the case” (Geo). It declined to answer the question on binding precedent, because the reference did not identify the principle of law in issue, and gave no opinion on the Islamic question, having received no assistance on it (Geo; The News). The 48-page detailed reasons, written by the Chief Justice, were issued on 8 July 2024 (The News). No compensation, rehabilitation measure or further proceeding has been found; the conviction formally stands.</t>
  </si>
  <si>
    <t xml:space="preserve">No finding of investigative or prosecutorial misconduct appears in the reports of the reasons read; the reasons stress the martial-law ruler’s interest in a conviction (coded under 7) [verify: what the reasons say about the reopened investigation and the approver’s position]</t>
  </si>
  <si>
    <t xml:space="preserve">Bhutto boycotted the trial from 1978-01-09 and declined counsel (Dawn); no finding of inadequate defence located.</t>
  </si>
  <si>
    <t xml:space="preserve">The approver’s evidence was central at trial (Dawn), but the reports of the 2024 opinion and reasons read do not show a finding that it was false or unreliable. A separate note by another member of the bench (reported 2026-02-01) held that a death sentence resting solely on approver testimony violated fundamental legal and moral principles (Dunya News): a finding on legal sufficiency in an individual note, not the Court’s opinion (D3, D20) [verify: reasons on the approver evidence].</t>
  </si>
  <si>
    <t xml:space="preserve">Systemic or structural issue (specify): trial and appeal under martial law, with fundamental rights suspended. The reasons hold that the trial and appellate courts “were not true courts under the Constitution, and the country was captive to Martial Law and so too were its courts”, and that the martial-law ruler stood to benefit directly from a guilty verdict (The News; Business Recorder, 2024-07-09).</t>
  </si>
  <si>
    <t xml:space="preserve">Other (specify): lack of an independent and impartial tribunal. The reasons find “self-expressed prejudice and bias” in the trial court and adulation of the martial-law ruler in the appellate judgment (The News, 2024-07-09). Separate notes add manipulation of the bench composition (a separate note reported by Dawn, 2024-12-18) and the transfer of the trial from the Sessions Court to the High Court under martial law (another separate note, reported by Dunya News, 2026-02-01).</t>
  </si>
  <si>
    <t xml:space="preserve">Marked factors rest on the Court’s reasons as reported in the press; findings that appear only in individual judges’ separate notes are recorded in the notes but not marked (D3).</t>
  </si>
  <si>
    <t xml:space="preserve">Later statements by one of the 1979 majority judges are discussed in a separate note (Dawn, 2024-12-18); whether the Court’s reasons rely on them is not confirmed [verify].</t>
  </si>
  <si>
    <t xml:space="preserve">No source read ties family advocacy to the reference (D3).</t>
  </si>
  <si>
    <t xml:space="preserve">Presidential Reference No. 1 of 2011 under Article 186 of the Constitution, filed 2011-04-02 (The News; Geo).</t>
  </si>
  <si>
    <t xml:space="preserve">Murder by conspiracy and abetment under the Pakistan Penal Code (ss 302, 120 and 109 as reported); death sentence</t>
  </si>
  <si>
    <t xml:space="preserve">Appeal dismissed by the Supreme Court 1979-02-06 (four to three); review dismissed 1979-03-24 (Dawn); executed 1979-04-04</t>
  </si>
  <si>
    <t xml:space="preserve">Supreme Court opinion on Presidential Reference No. 1 of 2011 under Article 186: short opinion 2024-03-06; detailed reasons 2024-07-08</t>
  </si>
  <si>
    <t xml:space="preserve">No court set aside the conviction: the court stated that in its advisory jurisdiction it cannot reappraise the evidence and undo the decision, and that no mechanism exists to set the final judgment aside (Geo; Dawn)</t>
  </si>
  <si>
    <t xml:space="preserve">The apex court’s own instrument finds that the trial and the appeal did not meet the requirements of a fair trial and due process (Articles 4 and 9), and its reasons say the transgressions “may have vitiated the trial and the conviction” (as reported)</t>
  </si>
  <si>
    <t xml:space="preserve">No pardon or commutation; before the execution the President decided “not to interfere” (Dawn)</t>
  </si>
  <si>
    <t xml:space="preserve">The opinion is traceable by reference number and is posted on the Supreme Court’s website (not read: the fetch returned 403); content from Dawn, Geo, The News, Business Recorder, The Nation and Dunya News</t>
  </si>
  <si>
    <t xml:space="preserve">Marked under Category B; quotations to be checked against the official text</t>
  </si>
  <si>
    <t xml:space="preserve">JUR-PAK-01 (new; draft in Appendix A).</t>
  </si>
  <si>
    <t xml:space="preserve">Inclusion: INCLUDED, Category A · Documentation: PASS · Verify with: no co-developer for Singapore yet</t>
  </si>
  <si>
    <t xml:space="preserve">Drug trafficking (capital charge) · Singapore · Final 2015 · Review acquittal 2020</t>
  </si>
  <si>
    <t xml:space="preserve">JUR-SGP-01</t>
  </si>
  <si>
    <t xml:space="preserve">Public Prosecutor v Ilechukwu Uchechukwu Chukwudi [2015] SGCA 33; Ilechukwu Uchechukwu Chukwudi v Public Prosecutor [2020] SGCA 90</t>
  </si>
  <si>
    <t xml:space="preserve">Ilechukwu case (conviction on the prosecution’s appeal, 2015; set aside on review, 2020)</t>
  </si>
  <si>
    <t xml:space="preserve">Ilechukwu Uchechukwu Chukwudi (“Ilechukwu” in the judgments and press reports); Nigerian national</t>
  </si>
  <si>
    <t xml:space="preserve">31 or 32 at the first-instance judgment (2014-11-05), which acquitted him (D8); 32 or 33 when the Court of Appeal convicted him (2015-06-29). Computed from his age of 29 at the offence on 2011-11-13 ([2015] SGCA 33) [verify: date of birth]</t>
  </si>
  <si>
    <t xml:space="preserve">8.8</t>
  </si>
  <si>
    <t xml:space="preserve">Yes (arrested 2011-11-14; release date not reported, so counted to the acquittal on 2020-09-17, after which TODAY described him as “now a free man”; 3,231 days counting both ends) [verify: release date]</t>
  </si>
  <si>
    <t xml:space="preserve">Drug offense</t>
  </si>
  <si>
    <t xml:space="preserve">Trafficking in not less than 1,963.3 g of methamphetamine, s 5(1)(a) of the Misuse of Drugs Act (Cap 185, 2008 Rev Ed); alternatively punishable under s 33B [verify: exact wording of the charge]</t>
  </si>
  <si>
    <t xml:space="preserve">Trafficking (by handing over a trolley bag containing the drug) in not less than 1,963.3 g of methamphetamine, a Class A controlled drug; a capital charge</t>
  </si>
  <si>
    <t xml:space="preserve">Other (specify): none imposed. After the 2015 conviction the case was remitted to the trial judge to decide between life imprisonment and death (TODAY); sentencing was still pending on 2017-08-02 ([2017] SGCA 44), and he was still in remand when acquitted (TODAY). The account that he was sentenced to death is not borne out [verify: confirm that no sentence was passed between 2017-08-02 and 2020-09-17]</t>
  </si>
  <si>
    <t xml:space="preserve">High Court (joint trial, Criminal Case No 32 of 2014): acquitted 2014-11-05 ([2015] SGHC 4); Court of Appeal (Criminal Appeal No 10 of 2014, prosecution’s appeal): convicted 2015-06-29 ([2015] SGCA 33)</t>
  </si>
  <si>
    <t xml:space="preserve">Circumstantial evidence (he brought the bag from Lagos and handed it over); other (specify): lies and omissions in his statements to the Central Narcotics Bureau, which the Court of Appeal held, with the suspicious circumstances, showed that he had not rebutted the presumption of knowledge in s 18(2) of the Act ([2015] SGCA 33; [2020] SGCA 90 at [2])</t>
  </si>
  <si>
    <t xml:space="preserve">0 (no individual victim)</t>
  </si>
  <si>
    <t xml:space="preserve">Not applicable (no individual victim)</t>
  </si>
  <si>
    <t xml:space="preserve">No (D4). The co-accused to whom he handed the bag was convicted at the joint trial on a separate charge ([2020] SGCA 90 at [2]); no court found another person to be the offender on his charge.</t>
  </si>
  <si>
    <t xml:space="preserve">Drug offence without an individual victim. The co-accused is not named here.</t>
  </si>
  <si>
    <t xml:space="preserve">Ordinary appeals completed (appellate judgment issued): the Court of Appeal allowed the prosecution’s appeal against his acquittal and convicted him</t>
  </si>
  <si>
    <t xml:space="preserve">Year: 2015 | Month: 06 | Day: 29 | Precision: day</t>
  </si>
  <si>
    <t xml:space="preserve">The Court of Appeal is Singapore’s apex court (TODAY), and in 2017 it treated his application as one to reopen a concluded criminal appeal ([2017] SGCA 44). The case had been remitted for sentencing and no sentence had been passed (D14).</t>
  </si>
  <si>
    <t xml:space="preserve">Action 1 — Review acquittal by the Court of Appeal (Category A) · 2020-09-17 (precision: day); reported 2020-09-18</t>
  </si>
  <si>
    <t xml:space="preserve">Unknown: none reported [verify: whether he sought or received any payment]</t>
  </si>
  <si>
    <t xml:space="preserve">Ilechukwu Uchechukwu Chukwudi, a Nigerian national, flew from Lagos to Singapore on 13 November 2011 with a black trolley bag, which he handed over that day on River Valley Road to the co-accused; the bag was found at Woodlands Checkpoint to contain not less than 1,963.3 g of methamphetamine. He was arrested in his hotel room the next morning, 14 November 2011, and charged with trafficking under s 5(1)(a) of the Misuse of Drugs Act, a capital charge. He was presumed under s 18(2) of the Act to know the nature of the drug and had to rebut that presumption on the balance of probabilities. At a joint trial in the High Court, the trial judge acquitted him on 5 November 2014, holding the presumption rebutted, and convicted the co-accused on a separate charge ([2015] SGHC 4, as summarised in [2015] SGCA 33). The prosecution appealed. On 29 June 2015 the Court of Appeal allowed the appeal and convicted him ([2015] SGCA 33). It found numerous deliberate lies in his statements to the Central Narcotics Bureau, told “obviously to distance himself from the Black Luggage and the Drugs concealed therein”, and held that these lies, with the suspicious circumstances, showed that he had not rebutted the presumption. The case went back to the trial judge to decide between life imprisonment and the death penalty (TODAY).</t>
  </si>
  <si>
    <t xml:space="preserve">At the sentencing stage the defence raised an abnormality of mind under s 33B(3)(b) of the Act, the route to life imprisonment rather than death ([2017] SGCA 44; TODAY). His lawyers asked on 18 September 2015 for a psychiatric report from the Complex Medical Centre at Changi Prison, which reported on 30 November 2015, and obtained a private psychiatric report on 28 March 2016, which they disclosed to the prosecution on 25 April 2016. At the prosecution’s request, a psychiatrist at the Institute of Mental Health (IMH) then assessed him. His report of 6 March 2017 diagnosed post-traumatic stress disorder (PTSD), traced to his exposure as a young child to a massacre in his home town, Wukari, and attributed the falsehoods in his statements to symptoms set off when he was told after his arrest that he faced the death penalty ([2017] SGCA 44; [2020] SGCA 90). The Court of Appeal later called this “a decidedly fortuitous turn of events”: the lies had been “pivotal” to the conviction, and at the time there had not appeared to be any innocent explanation for them ([2020] SGCA 90 at [2]–[3]). On 5 April 2017 his lawyers, who acted pro bono (TODAY), filed Criminal Motion No 4 of 2017 asking the Court of Appeal to reopen its decision. No sentence had been passed.</t>
  </si>
  <si>
    <t xml:space="preserve">On 2 August 2017 a three-judge Court of Appeal, applying the test for reopening a concluded criminal appeal in Kho Jabing v Public Prosecutor [2016] 3 SLR 135, held that the IMH report was new and compelling material and raised a “powerful probability” that its 2015 decision was demonstrably wrong. It allowed the motion in part and remitted to the trial judge questions on whether he had PTSD or post-traumatic stress symptoms and how they affected his statements ([2017] SGCA 44; [2020] SGCA 90 at [32]). After hearings in 2018 and 2019 at which several psychiatrists gave evidence, the trial judge found that he had suffered from PTSD following the childhood massacre, though no fresh episode after his arrest, and that post-traumatic stress symptoms while he gave his statements “had affected and likely precipitated the lies” ([2019] SGHC 161 at [113], [129], [166]). A five-judge Court of Appeal heard the motion and reserved judgment on 12 June 2020. On 17 September 2020, by four to one, it set aside the conviction and acquitted him. As reported by TODAY, the majority found “a plausible innocent explanation” for his false statements, holding that PTSD “may have led him to grossly overestimate the threat on his life”. He was freed after almost nine years in remand. No apology, prosecutorial statement or compensation has been found.</t>
  </si>
  <si>
    <t xml:space="preserve">No confession: his statements denied knowledge of the drugs. The lies in them are coded under 8.</t>
  </si>
  <si>
    <t xml:space="preserve">No forensic or evidentiary error was found; the psychiatric evidence is the ground of correction, not a source of error (D19).</t>
  </si>
  <si>
    <t xml:space="preserve">No finding of non-disclosure located. The report that grounded the review was prepared at the prosecution’s request after the conviction, at the sentencing stage ([2017] SGCA 44), and no disclosure topic appears in the catchwords or in [1]–[95] of [2020] SGCA 90 [verify: paragraphs after [95]].</t>
  </si>
  <si>
    <t xml:space="preserve">The conviction turned on the statutory presumption of knowledge (s 18(2) of the Misuse of Drugs Act), which put on him the burden of proving that he did not know the nature of the drug; no court treated it as a cause of error (D3).</t>
  </si>
  <si>
    <t xml:space="preserve">Other (specify): the accused’s lies treated as evidence of guilt, later explained by an undiagnosed psychiatric condition. The 2015 conviction rested on lies and omissions for which there then appeared to be no innocent explanation ([2020] SGCA 90 at [2]); on remittal the trial judge found that post-traumatic stress symptoms “had affected and likely precipitated the lies” ([2019] SGHC 161 at [166]), and the review majority found a plausible innocent explanation (TODAY).</t>
  </si>
  <si>
    <t xml:space="preserve">Factor 4a is not marked: the account that the review turned on a withheld psychiatric report is not borne out by the judgments read.</t>
  </si>
  <si>
    <t xml:space="preserve">Psychiatric evidence coded under newly discovered evidence, not forensic evidence; for the team to confirm.</t>
  </si>
  <si>
    <t xml:space="preserve">The IMH psychiatric report of 2017-03-06 diagnosing PTSD, obtained at the sentencing stage; the Court of Appeal held it new and compelling ([2017] SGCA 44; [2020] SGCA 90 at [32]).</t>
  </si>
  <si>
    <t xml:space="preserve">Defence counsel, acting pro bono (TODAY), obtained psychiatric reports at the sentencing stage and filed the motion to reopen ([2017] SGCA 44).</t>
  </si>
  <si>
    <t xml:space="preserve">The prosecution commissioned the IMH report for sentencing, not as a review of the conviction ([2017] SGCA 44).</t>
  </si>
  <si>
    <t xml:space="preserve">Trafficking in not less than 1,963.3 g of methamphetamine, s 5(1)(a) of the Misuse of Drugs Act (capital charge)</t>
  </si>
  <si>
    <t xml:space="preserve">Conviction entered by the Court of Appeal, the apex court, on 2015-06-29; treated in 2017 as a concluded appeal ([2017] SGCA 44). No sentence was passed (D14)</t>
  </si>
  <si>
    <t xml:space="preserve">Court of Appeal judgment on Criminal Motion No 4 of 2017, [2020] SGCA 90, 2020-09-17</t>
  </si>
  <si>
    <t xml:space="preserve">Conviction set aside and acquittal on the reopening of a concluded appeal [verify: order as worded]</t>
  </si>
  <si>
    <t xml:space="preserve">No compensation decision, prosecutorial admission or official finding located</t>
  </si>
  <si>
    <t xml:space="preserve">[2015] SGCA 33, [2017] SGCA 44, [2019] SGHC 161 and [2020] SGCA 90 on eLitigation; TODAY report via Malay Mail</t>
  </si>
  <si>
    <t xml:space="preserve">JUR-SGP-01 (new; draft in Appendix A).</t>
  </si>
  <si>
    <t xml:space="preserve">Inclusion: INCLUDED, Categories A and B · Documentation: PASS · Verify with: no co-developer for Vietnam yet</t>
  </si>
  <si>
    <t xml:space="preserve">Murder (giết người) · Vietnam (Bắc Giang) · Final 2004 · Reopening annulment 2013</t>
  </si>
  <si>
    <t xml:space="preserve">JUR-VNM-01</t>
  </si>
  <si>
    <t xml:space="preserve">Vụ án Nguyễn Thanh Chấn (giết người)</t>
  </si>
  <si>
    <t xml:space="preserve">Vietnamese</t>
  </si>
  <si>
    <t xml:space="preserve">Nguyễn Thanh Chấn murder case</t>
  </si>
  <si>
    <t xml:space="preserve">42 or 43 (first-instance judgment, 2004-03-26; computed from his reported age of 52 on 2013-11-04, Tiền Phong) [verify: date of birth]</t>
  </si>
  <si>
    <t xml:space="preserve">10.1</t>
  </si>
  <si>
    <t xml:space="preserve">No (detained 2003-09-28 in temporary custody, tạm giữ, and remanded 2003-09-29; released 2013-11-04; 3,690 days, computed)</t>
  </si>
  <si>
    <t xml:space="preserve">Giết người (Điều 93 Bộ luật Hình sự năm 1999)</t>
  </si>
  <si>
    <t xml:space="preserve">Murder (Criminal Code 1999, art. 93) [verify: clause applied]</t>
  </si>
  <si>
    <t xml:space="preserve">Life imprisonment (tù chung thân)</t>
  </si>
  <si>
    <t xml:space="preserve">Tòa án nhân dân tỉnh Bắc Giang (Bắc Giang Provincial People’s Court), Bản án hình sự sơ thẩm số 45/HSST, 2004-03-26; appeal: Tòa phúc thẩm Tòa án nhân dân tối cao tại Hà Nội (Appeal Court of the Supreme People’s Court in Hanoi), Bản án hình sự phúc thẩm số 1241/PTHS, 2004-07-27 (numbers as given in reports of the 2013 reopening decision)</t>
  </si>
  <si>
    <t xml:space="preserve">Confession (made during the investigation; he denied the killing at first instance and on appeal; Tiền Phong, 2013-11-04) [verify: other evidence relied on: the judgments were not seen; in 2017 two officials were tried over a record of his footprints placed in the file (Tuổi Trẻ, 2017-01-19)]</t>
  </si>
  <si>
    <t xml:space="preserve">Adult (as reported) [verify: age]</t>
  </si>
  <si>
    <t xml:space="preserve">Unknown (both lived in Me hamlet, Nghĩa Trung commune)</t>
  </si>
  <si>
    <t xml:space="preserve">Yes (D4): the man who confessed was convicted of murder and robbery (giết người, cướp tài sản) at first instance on 2015-07-23 and sentenced to 12 years’ imprisonment; he did not appeal (VOV, 2017-03-08; Báo Pháp luật Việt Nam, 2017-03-07) [verify: judgment number and court; outcome of the appeal heard on 2017-03-07]</t>
  </si>
  <si>
    <t xml:space="preserve">A woman was killed on the evening of 2003-08-15 in Me hamlet, Nghĩa Trung commune, Việt Yên district, Bắc Giang; the man who confessed said he killed her to rob her possessions (Government news portal, 2013-11-04).</t>
  </si>
  <si>
    <t xml:space="preserve">Ordinary appeals completed (second-instance or appellate judgment issued)</t>
  </si>
  <si>
    <t xml:space="preserve">Year: 2004 | Month: 07 | Day: 27 | Precision: day</t>
  </si>
  <si>
    <t xml:space="preserve">The Appeal Court of the Supreme People’s Court in Hanoi upheld the conviction and sentence on 2004-07-27 after a hearing on 26–27 July (judgment No. 1241/PTHS, as reported), and an appellate judgment took legal effect on pronouncement [verify: article of the Criminal Procedure Code 2003]. He was serving the sentence when its execution was suspended on 2013-11-04 under the reopening procedure, which lies only against a final judgment.</t>
  </si>
  <si>
    <t xml:space="preserve">Action 1 — Reopening decision annulling the final judgments (Category A) · 2013-11-06 (precision: day)
Action 2 — Termination of the investigation (not categorised) · 2014-01-25 (precision: day)
Action 3 — Statutory public apology and correction (Category B) · 2015-04-17 (precision: day)
Action 4 — State compensation (Category B) · 2015-05 (precision: month): agreement reached at the end of May 2015 after negotiation sessions on 2014-08-15 and 2015-03-17 (VnExpress) [verify: date of the instrument]</t>
  </si>
  <si>
    <t xml:space="preserve">About 7,200,000,000 / VND / 2015 (“7,2 tỷ đồng”, as reported) [verify: exact amount]</t>
  </si>
  <si>
    <t xml:space="preserve">Supreme People’s Court, through the Appeal Court and then the High People’s Court in Hanoi [verify: issuing court]</t>
  </si>
  <si>
    <t xml:space="preserve">Yes (recorded as Action 4; D1) [verify: whether the instrument recites that he did not commit the crime]</t>
  </si>
  <si>
    <t xml:space="preserve">On the evening of 15 August 2003 a woman was killed in Me hamlet, Nghĩa Trung commune, Việt Yên district, Bắc Giang province. Nguyễn Thanh Chấn, who lived in the same hamlet, was taken into temporary custody (tạm giữ) on 28 September 2003 and remanded (tạm giam) the next day; the investigation was concluded on 3 December 2003 (Government news portal and Tiền Phong, both 2013-11-04). He confessed during the investigation but denied the killing at his trial and on appeal (Tiền Phong). On 26 March 2004 the Bắc Giang Provincial People’s Court convicted him of murder under article 93 of the Criminal Code 1999 and sentenced him to life imprisonment (judgment No. 45/HSST). The Appeal Court of the Supreme People’s Court in Hanoi heard his appeal on 26–27 July 2004 and upheld the judgment (judgment No. 1241/PTHS of 27 July 2004; numbers as given in reports of the 2013 reopening decision). He was 52 in November 2013, and so 42 or 43 when first convicted. The judgments have not been seen, and what evidence they relied on besides his confession is not established from the sources read. In 2017 two officials from the original investigation were indicted on allegations that a record of his footprints had been placed in the file in a way that changed the nature of the case, that his retractions had been removed from the file, and that his complaints of coercion had not been considered (Tuổi Trẻ, 2017-01-19); see Section G.</t>
  </si>
  <si>
    <t xml:space="preserve">On 25 October 2013 another man surrendered and confessed to the killing, saying he had killed the woman to rob her possessions (Government news portal, 2013-11-04). As reported, the reopening decision recorded his confession that he had stabbed her on 15 August 2003, together with statements by members of his family consistent with it, and treated these as newly discovered circumstances capable of fundamentally changing the case (Tiền Phong, 2013-11-26; VietNamNet). One 2017 report dates the involvement of the Supreme People’s Procuracy’s Investigation Department to July 2013, before the surrender (Báo Pháp luật Việt Nam, background only) [verify]. On 4 November 2013 the Chief Procurator of the Supreme People’s Procuracy lodged a protest under the reopening procedure (kháng nghị tái thẩm), No. 01/QĐKNTT-VKSTC, rather than a cassation protest (giám đốc thẩm). The same day a Deputy Chief Procurator suspended execution of the sentence by Decision No. 04/QĐTĐC-THA, and Chấn was released and returned home after ten years and five weeks in custody (Government news portal; Thanh Tra; Tiền Phong). The sources read do not document what part petitions by Chấn or his family played [verify], and none ties media attention to the correction.</t>
  </si>
  <si>
    <t xml:space="preserve">On the afternoon of 6 November 2013 the Judges’ Council of the Supreme People’s Court, sitting as a ten-member reopening council chaired by the Chief Justice, accepted the protest, annulled both judgments and sent the file to the Supreme People’s Procuracy for re-investigation (Tiền Phong; VietNamNet; Thanh Tra reported the Ministry of Public Security’s police investigation agency). It did not acquit him. On 25 January 2014 the Police Investigation Agency of the Ministry of Public Security terminated the investigation against him (Báo Tin tức; VietNamNet) [verify: decision and ground]. On 30 September 2014 the procuracy’s Investigation Department charged the former lead investigator and the former procurator with falsifying case files, and the presiding judge of the 2004 appeal with negligence causing serious consequences (VOV). On 17 April 2015 the Appeal Court of the Supreme People’s Court in Hanoi, as the court responsible for compensation, apologised to him and corrected the record at a public ceremony in his commune, stating that he had not committed the killing (Báo Tin tức). Compensation of about VND 7.2 billion was agreed at the end of May 2015 and paid through the High People’s Court in Hanoi by 16 October 2015 (VnExpress; VietNamNet). The man who confessed was convicted of murder and robbery on 23 July 2015 and sentenced to 12 years’ imprisonment (VOV; Báo Pháp luật Việt Nam). In January 2017 the Bắc Giang Provincial People’s Court convicted the two former officials of negligence causing serious consequences and sentenced them to 12 and 8 months’ imprisonment; both appealed [verify: outcome] (VnExpress; VOV).</t>
  </si>
  <si>
    <t xml:space="preserve">He confessed during the investigation and retracted at both trials (Tiền Phong, 2013-11-04); the statutory apology of 2015-04-17 records that he did not commit the killing (Báo Tin tức), so the confession was false. No official finding on how it was obtained.</t>
  </si>
  <si>
    <t xml:space="preserve">At the officials’ trial in January 2017 he testified that an investigator beat him during interrogation, and the indictment alleged that his complaints of coercion were not considered; the defendants denied wrongdoing (Tuổi Trẻ, 2017-01-19). No official finding located (D3).</t>
  </si>
  <si>
    <t xml:space="preserve">The Bắc Giang Provincial People’s Court convicted the former lead investigator and the former procurator of negligence causing serious consequences in January 2017; as reported, the investigator did not fully perform his assigned duties (VnExpress; VOV) [verify: judgment text; appeal outcome].</t>
  </si>
  <si>
    <t xml:space="preserve">The same judgment, as reported, found that the procurator deliberately left two interrogation records out of the file (VnExpress); the indictment describes his retractions as removed from the file (Tuổi Trẻ) [verify: judgment text; appeal outcome].</t>
  </si>
  <si>
    <t xml:space="preserve">The indictment alleged that the investigators made a record of his footprints and put it in the file in a way that changed the nature of the case (Tuổi Trẻ); the court convicted of negligence rather than the falsification charged (VnExpress). Not marked (D3).</t>
  </si>
  <si>
    <t xml:space="preserve">Factors 4 and 4a rest on media reports of the officials’ first-instance judgment, which was under appeal.</t>
  </si>
  <si>
    <t xml:space="preserve">His conviction (2015-07-23) came after the correction; at the time of the reopening decision there was only his confession (D4).</t>
  </si>
  <si>
    <t xml:space="preserve">The man who confessed surrendered on 2013-10-25; the reopening decision treated his confession as the newly discovered circumstance (Tiền Phong, 2013-11-26).</t>
  </si>
  <si>
    <t xml:space="preserve">Not documented in the sources read [verify] (D3).</t>
  </si>
  <si>
    <t xml:space="preserve">No source read ties it to the correction (D3).</t>
  </si>
  <si>
    <t xml:space="preserve">Involvement of the procuracy’s Investigation Department from July 2013 is reported in one background passage only (Báo Pháp luật Việt Nam, 2017) [verify].</t>
  </si>
  <si>
    <t xml:space="preserve">Murder (giết người), Criminal Code 1999, art. 93</t>
  </si>
  <si>
    <t xml:space="preserve">Appellate judgment No. 1241/PTHS of the Appeal Court of the Supreme People’s Court in Hanoi, 2004-07-27; the sentence was being executed when it was suspended on 2013-11-04</t>
  </si>
  <si>
    <t xml:space="preserve">Reopening decision of the Judges’ Council of the Supreme People’s Court, 2013-11-06, on Protest No. 01/QĐKNTT-VKSTC</t>
  </si>
  <si>
    <t xml:space="preserve">The reopening decision annulled the final first-instance and appellate judgments; the reopened proceedings ended with termination of the investigation on 2014-01-25 (D13)</t>
  </si>
  <si>
    <t xml:space="preserve">Statutory public apology and correction, 2015-04-17; state compensation under Law No. 35/2009/QH12 (D1, D2, D16)</t>
  </si>
  <si>
    <t xml:space="preserve">The annulled judgments (45/HSST; 1241/PTHS), the protest (01/QĐKNTT-VKSTC) and the suspension decision (04/QĐTĐC-THA) are cited by number, and the reopening decision by date and body; no decision text was seen [verify: reopening decision number]</t>
  </si>
  <si>
    <t xml:space="preserve">JUR-VNM-01 (new; draft in Appendix A).</t>
  </si>
  <si>
    <t xml:space="preserve">Action</t>
  </si>
  <si>
    <t xml:space="preserve">Action Type</t>
  </si>
  <si>
    <t xml:space="preserve">Category</t>
  </si>
  <si>
    <t xml:space="preserve">Document Type</t>
  </si>
  <si>
    <t xml:space="preserve">Date of Action</t>
  </si>
  <si>
    <t xml:space="preserve">Issuing Authority</t>
  </si>
  <si>
    <t xml:space="preserve">Procedural Route</t>
  </si>
  <si>
    <t xml:space="preserve">Basis Stated in the Decision</t>
  </si>
  <si>
    <t xml:space="preserve">Summary</t>
  </si>
  <si>
    <t xml:space="preserve">Action 1 — Retrial acquittal (Category A)</t>
  </si>
  <si>
    <t xml:space="preserve">A (Judicial reversal)</t>
  </si>
  <si>
    <r>
      <rPr>
        <sz val="10"/>
        <rFont val="Arial"/>
        <family val="0"/>
        <charset val="1"/>
      </rPr>
      <t xml:space="preserve">SPC Retrial Judgment (</t>
    </r>
    <r>
      <rPr>
        <sz val="10"/>
        <rFont val="WenQuanYi Zen Hei"/>
        <family val="2"/>
      </rPr>
      <t xml:space="preserve">最高人民法院再审判决书</t>
    </r>
    <r>
      <rPr>
        <sz val="10"/>
        <rFont val="Arial"/>
        <family val="0"/>
        <charset val="1"/>
      </rPr>
      <t xml:space="preserve">)</t>
    </r>
  </si>
  <si>
    <t xml:space="preserve">Year: 2016 | Month: 12 | Day: 02 | Precision: day</t>
  </si>
  <si>
    <r>
      <rPr>
        <sz val="10"/>
        <rFont val="Arial"/>
        <family val="0"/>
        <charset val="1"/>
      </rPr>
      <t xml:space="preserve">Supreme People's Court (SPC) (</t>
    </r>
    <r>
      <rPr>
        <sz val="10"/>
        <rFont val="WenQuanYi Zen Hei"/>
        <family val="2"/>
      </rPr>
      <t xml:space="preserve">最高人民法院</t>
    </r>
    <r>
      <rPr>
        <sz val="10"/>
        <rFont val="Arial"/>
        <family val="0"/>
        <charset val="1"/>
      </rPr>
      <t xml:space="preserve">)</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</si>
  <si>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t>
    </r>
  </si>
  <si>
    <t xml:space="preserve">Insufficiency of the original evidence</t>
  </si>
  <si>
    <r>
      <rPr>
        <sz val="10"/>
        <rFont val="Arial"/>
        <family val="0"/>
        <charset val="1"/>
      </rPr>
      <t xml:space="preserve">The SPC reversed the conviction in its entirety and declared Nie Shubin not guilty (</t>
    </r>
    <r>
      <rPr>
        <sz val="10"/>
        <rFont val="WenQuanYi Zen Hei"/>
        <family val="2"/>
      </rPr>
      <t xml:space="preserve">宣告无罪</t>
    </r>
    <r>
      <rPr>
        <sz val="10"/>
        <rFont val="Arial"/>
        <family val="0"/>
        <charset val="1"/>
      </rPr>
      <t xml:space="preserve">), finding the evidence insufficient to establish guilt beyond reasonable doubt</t>
    </r>
  </si>
  <si>
    <t xml:space="preserve">Action 2 — State compensation decision (Category B)</t>
  </si>
  <si>
    <t xml:space="preserve">State compensation decision</t>
  </si>
  <si>
    <t xml:space="preserve">B (Formal acknowledgment of error)</t>
  </si>
  <si>
    <r>
      <rPr>
        <sz val="10"/>
        <rFont val="Arial"/>
        <family val="0"/>
        <charset val="1"/>
      </rPr>
      <t xml:space="preserve">State Compensation Decision (</t>
    </r>
    <r>
      <rPr>
        <sz val="10"/>
        <rFont val="WenQuanYi Zen Hei"/>
        <family val="2"/>
      </rPr>
      <t xml:space="preserve">国家赔偿决定书</t>
    </r>
    <r>
      <rPr>
        <sz val="10"/>
        <rFont val="Arial"/>
        <family val="0"/>
        <charset val="1"/>
      </rPr>
      <t xml:space="preserve">)</t>
    </r>
  </si>
  <si>
    <t xml:space="preserve">Year: 2017 | Precision: year</t>
  </si>
  <si>
    <r>
      <rPr>
        <sz val="10"/>
        <rFont val="Arial"/>
        <family val="0"/>
        <charset val="1"/>
      </rPr>
      <t xml:space="preserve">Hebei Higher People's Court, Compensation Committee (</t>
    </r>
    <r>
      <rPr>
        <sz val="10"/>
        <rFont val="WenQuanYi Zen Hei"/>
        <family val="2"/>
      </rPr>
      <t xml:space="preserve">河北省高级人民法院赔偿委员会</t>
    </r>
    <r>
      <rPr>
        <sz val="10"/>
        <rFont val="Arial"/>
        <family val="0"/>
        <charset val="1"/>
      </rPr>
      <t xml:space="preserve">)</t>
    </r>
  </si>
  <si>
    <r>
      <rPr>
        <sz val="10"/>
        <rFont val="Arial"/>
        <family val="0"/>
        <charset val="1"/>
      </rPr>
      <t xml:space="preserve">State Compensation Law (</t>
    </r>
    <r>
      <rPr>
        <sz val="10"/>
        <rFont val="WenQuanYi Zen Hei"/>
        <family val="2"/>
      </rPr>
      <t xml:space="preserve">国家赔偿法</t>
    </r>
    <r>
      <rPr>
        <sz val="10"/>
        <rFont val="Arial"/>
        <family val="0"/>
        <charset val="1"/>
      </rPr>
      <t xml:space="preserve">)</t>
    </r>
  </si>
  <si>
    <t xml:space="preserve">Not stated</t>
  </si>
  <si>
    <t xml:space="preserve">RMB 2,684,600 awarded to Nie Shubin's parents; the decision is expressly premised on the wrongful conviction</t>
  </si>
  <si>
    <r>
      <rPr>
        <sz val="10"/>
        <rFont val="Arial"/>
        <family val="0"/>
        <charset val="1"/>
      </rPr>
      <t xml:space="preserve">Retrial judgment (</t>
    </r>
    <r>
      <rPr>
        <sz val="10"/>
        <rFont val="WenQuanYi Zen Hei"/>
        <family val="2"/>
      </rPr>
      <t xml:space="preserve">再審判決</t>
    </r>
    <r>
      <rPr>
        <sz val="10"/>
        <rFont val="Arial"/>
        <family val="0"/>
        <charset val="1"/>
      </rPr>
      <t xml:space="preserve">); listed on courts.go.jp under </t>
    </r>
    <r>
      <rPr>
        <sz val="10"/>
        <rFont val="WenQuanYi Zen Hei"/>
        <family val="2"/>
      </rPr>
      <t xml:space="preserve">平成</t>
    </r>
    <r>
      <rPr>
        <sz val="10"/>
        <rFont val="Arial"/>
        <family val="0"/>
        <charset val="1"/>
      </rPr>
      <t xml:space="preserve">20</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1</t>
    </r>
    <r>
      <rPr>
        <sz val="10"/>
        <rFont val="WenQuanYi Zen Hei"/>
        <family val="2"/>
      </rPr>
      <t xml:space="preserve">号</t>
    </r>
    <r>
      <rPr>
        <sz val="10"/>
        <rFont val="Arial"/>
        <family val="0"/>
        <charset val="1"/>
      </rPr>
      <t xml:space="preserve">, the number of the second retrial request</t>
    </r>
  </si>
  <si>
    <t xml:space="preserve">2024-09-26 (precision: day)</t>
  </si>
  <si>
    <r>
      <rPr>
        <sz val="10"/>
        <rFont val="Arial"/>
        <family val="0"/>
        <charset val="1"/>
      </rPr>
      <t xml:space="preserve">Shizuoka District Court (</t>
    </r>
    <r>
      <rPr>
        <sz val="10"/>
        <rFont val="WenQuanYi Zen Hei"/>
        <family val="2"/>
      </rPr>
      <t xml:space="preserve">静岡地方裁判所</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</si>
  <si>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after final judgment. Second retrial request filed 2008-04-25 by his elder sister; retrial ordered by the Shizuoka District Court 2014-03-27; order set aside by the Tokyo High Court 2018-06-11; remanded by the Supreme Court 2020-12-22; order upheld by the Tokyo High Court 2023-03-13 and final on 2023-03-21.</t>
    </r>
  </si>
  <si>
    <t xml:space="preserve">Other (specify): the confession statement and two items of physical evidence held fabricated by the investigating authorities and excluded; the remaining evidence did not show that he was the offender (D6)</t>
  </si>
  <si>
    <r>
      <rPr>
        <sz val="10"/>
        <rFont val="Arial"/>
        <family val="0"/>
        <charset val="1"/>
      </rPr>
      <t xml:space="preserve">Acquittal. The prosecution waived its right of appeal and the acquittal became final on 2024-10-09. In a statement of 2024-10-08 the Prosecutor-General called the judgment one that “contains many problems in its reasoning” and was unacceptable (</t>
    </r>
    <r>
      <rPr>
        <sz val="10"/>
        <rFont val="WenQuanYi Zen Hei"/>
        <family val="2"/>
      </rPr>
      <t xml:space="preserve">到底承服できない</t>
    </r>
    <r>
      <rPr>
        <sz val="10"/>
        <rFont val="Arial"/>
        <family val="0"/>
        <charset val="1"/>
      </rPr>
      <t xml:space="preserve">), objecting to the fabrication findings, while apologising for leaving Hakamada in a legally unstable position for a very long time.</t>
    </r>
  </si>
  <si>
    <r>
      <rPr>
        <sz val="10"/>
        <rFont val="Arial"/>
        <family val="0"/>
        <charset val="1"/>
      </rPr>
      <t xml:space="preserve">Retrial judgment (</t>
    </r>
    <r>
      <rPr>
        <sz val="10"/>
        <rFont val="WenQuanYi Zen Hei"/>
        <family val="2"/>
      </rPr>
      <t xml:space="preserve">再審判決</t>
    </r>
    <r>
      <rPr>
        <sz val="10"/>
        <rFont val="Arial"/>
        <family val="0"/>
        <charset val="1"/>
      </rPr>
      <t xml:space="preserve">), </t>
    </r>
    <r>
      <rPr>
        <sz val="10"/>
        <rFont val="WenQuanYi Zen Hei"/>
        <family val="2"/>
      </rPr>
      <t xml:space="preserve">平成</t>
    </r>
    <r>
      <rPr>
        <sz val="10"/>
        <rFont val="Arial"/>
        <family val="0"/>
        <charset val="1"/>
      </rPr>
      <t xml:space="preserve">14</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号</t>
    </r>
  </si>
  <si>
    <t xml:space="preserve">2010-03-26 (precision: day)</t>
  </si>
  <si>
    <r>
      <rPr>
        <sz val="10"/>
        <rFont val="Arial"/>
        <family val="0"/>
        <charset val="1"/>
      </rPr>
      <t xml:space="preserve">Utsunomiya District Court (</t>
    </r>
    <r>
      <rPr>
        <sz val="10"/>
        <rFont val="WenQuanYi Zen Hei"/>
        <family val="2"/>
      </rPr>
      <t xml:space="preserve">宇都宮地方裁判所</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</si>
  <si>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Request filed 2002-12-25 and rejected by the Utsunomiya District Court 2008-02-13; on immediate appeal (</t>
    </r>
    <r>
      <rPr>
        <sz val="10"/>
        <rFont val="WenQuanYi Zen Hei"/>
        <family val="2"/>
      </rPr>
      <t xml:space="preserve">即時抗告</t>
    </r>
    <r>
      <rPr>
        <sz val="10"/>
        <rFont val="Arial"/>
        <family val="0"/>
        <charset val="1"/>
      </rPr>
      <t xml:space="preserve">) the Tokyo High Court ordered a DNA re-test on 2008-12-24 and a retrial on 2009-06-23. At the retrial, which opened on 2009-10-21, the prosecution asked for acquittal (2010-02-12).</t>
    </r>
  </si>
  <si>
    <t xml:space="preserve">New evidence of innocence: the court-ordered DNA re-test excluded him. The court also excluded the original MCT118 report from evidence and found the confession false.</t>
  </si>
  <si>
    <r>
      <rPr>
        <sz val="10"/>
        <rFont val="Arial"/>
        <family val="0"/>
        <charset val="1"/>
      </rPr>
      <t xml:space="preserve">Acquittal. The court excluded the original MCT118 report (</t>
    </r>
    <r>
      <rPr>
        <sz val="10"/>
        <rFont val="WenQuanYi Zen Hei"/>
        <family val="2"/>
      </rPr>
      <t xml:space="preserve">証拠能力を認めることができない</t>
    </r>
    <r>
      <rPr>
        <sz val="10"/>
        <rFont val="Arial"/>
        <family val="0"/>
        <charset val="1"/>
      </rPr>
      <t xml:space="preserve">) and held the confession wholly lacking in credibility and plainly false (</t>
    </r>
    <r>
      <rPr>
        <sz val="10"/>
        <rFont val="WenQuanYi Zen Hei"/>
        <family val="2"/>
      </rPr>
      <t xml:space="preserve">信用性が皆無であり、虚偽であることが明らか</t>
    </r>
    <r>
      <rPr>
        <sz val="10"/>
        <rFont val="Arial"/>
        <family val="0"/>
        <charset val="1"/>
      </rPr>
      <t xml:space="preserve">), while finding nothing that affected its admissibility; it concluded that it had become clear to anyone that he was not the offender. The three judges stood and apologised. Final the same day [verify: official source for same-day finality].</t>
    </r>
  </si>
  <si>
    <t xml:space="preserve">Action 2 — National Police Agency review (Category B) (D2, D9)</t>
  </si>
  <si>
    <t xml:space="preserve">Other (specify): written review of the police investigation, published by the National Police Agency (D2, D9)</t>
  </si>
  <si>
    <r>
      <rPr>
        <sz val="10"/>
        <rFont val="Arial"/>
        <family val="0"/>
        <charset val="1"/>
      </rPr>
      <t xml:space="preserve">Administrative document: </t>
    </r>
    <r>
      <rPr>
        <sz val="10"/>
        <rFont val="WenQuanYi Zen Hei"/>
        <family val="2"/>
      </rPr>
      <t xml:space="preserve">足利事件における警察捜査の問題点等について </t>
    </r>
    <r>
      <rPr>
        <sz val="10"/>
        <rFont val="Arial"/>
        <family val="0"/>
        <charset val="1"/>
      </rPr>
      <t xml:space="preserve">(summary published)</t>
    </r>
  </si>
  <si>
    <t xml:space="preserve">2010-04 (precision: month)</t>
  </si>
  <si>
    <r>
      <rPr>
        <sz val="10"/>
        <rFont val="Arial"/>
        <family val="0"/>
        <charset val="1"/>
      </rPr>
      <t xml:space="preserve">National Police Agency (</t>
    </r>
    <r>
      <rPr>
        <sz val="10"/>
        <rFont val="WenQuanYi Zen Hei"/>
        <family val="2"/>
      </rPr>
      <t xml:space="preserve">警察庁</t>
    </r>
    <r>
      <rPr>
        <sz val="10"/>
        <rFont val="Arial"/>
        <family val="0"/>
        <charset val="1"/>
      </rPr>
      <t xml:space="preserve">)</t>
    </r>
  </si>
  <si>
    <t xml:space="preserve">Review of the police investigation, published after the acquittal; the Supreme Public Prosecutors Office published its own review on 2010-04-01</t>
  </si>
  <si>
    <t xml:space="preserve">Other (specify): the investigation led to the arrest of a person who was not the offender and drove him to a false confession</t>
  </si>
  <si>
    <r>
      <rPr>
        <sz val="10"/>
        <rFont val="Arial"/>
        <family val="0"/>
        <charset val="1"/>
      </rPr>
      <t xml:space="preserve">The review states that the police arrested Sugaya, who was not the offender, and drove him to a false confession (</t>
    </r>
    <r>
      <rPr>
        <sz val="10"/>
        <rFont val="WenQuanYi Zen Hei"/>
        <family val="2"/>
      </rPr>
      <t xml:space="preserve">犯人ではない菅家氏を逮捕し、虚偽自白に追い込み</t>
    </r>
    <r>
      <rPr>
        <sz val="10"/>
        <rFont val="Arial"/>
        <family val="0"/>
        <charset val="1"/>
      </rPr>
      <t xml:space="preserve">). Coded B as a written finding by the responsible authority that speaks to the validity of the conviction (D2).</t>
    </r>
  </si>
  <si>
    <t xml:space="preserve">Action 1 — Control Yuan correction of the Ministry of National Defense (Category B) (D2, D9)</t>
  </si>
  <si>
    <r>
      <rPr>
        <sz val="10"/>
        <rFont val="Arial"/>
        <family val="0"/>
        <charset val="1"/>
      </rPr>
      <t xml:space="preserve">Administrative rectification (nearest value: a correction, </t>
    </r>
    <r>
      <rPr>
        <sz val="10"/>
        <rFont val="WenQuanYi Zen Hei"/>
        <family val="2"/>
      </rPr>
      <t xml:space="preserve">糾正</t>
    </r>
    <r>
      <rPr>
        <sz val="10"/>
        <rFont val="Arial"/>
        <family val="0"/>
        <charset val="1"/>
      </rPr>
      <t xml:space="preserve">, addressed by the Control Yuan to the Ministry of National Defense; D9)</t>
    </r>
  </si>
  <si>
    <r>
      <rPr>
        <sz val="10"/>
        <rFont val="Arial"/>
        <family val="0"/>
        <charset val="1"/>
      </rPr>
      <t xml:space="preserve">Correction (</t>
    </r>
    <r>
      <rPr>
        <sz val="10"/>
        <rFont val="WenQuanYi Zen Hei"/>
        <family val="2"/>
      </rPr>
      <t xml:space="preserve">糾正案</t>
    </r>
    <r>
      <rPr>
        <sz val="10"/>
        <rFont val="Arial"/>
        <family val="0"/>
        <charset val="1"/>
      </rPr>
      <t xml:space="preserve">), 99</t>
    </r>
    <r>
      <rPr>
        <sz val="10"/>
        <rFont val="WenQuanYi Zen Hei"/>
        <family val="2"/>
      </rPr>
      <t xml:space="preserve">司正</t>
    </r>
    <r>
      <rPr>
        <sz val="10"/>
        <rFont val="Arial"/>
        <family val="0"/>
        <charset val="1"/>
      </rPr>
      <t xml:space="preserve">4, with the Control Yuan investigation report</t>
    </r>
  </si>
  <si>
    <t xml:space="preserve">2010-05 (precision: month) [verify: day]</t>
  </si>
  <si>
    <r>
      <rPr>
        <sz val="10"/>
        <rFont val="Arial"/>
        <family val="0"/>
        <charset val="1"/>
      </rPr>
      <t xml:space="preserve">Control Yuan (</t>
    </r>
    <r>
      <rPr>
        <sz val="10"/>
        <rFont val="WenQuanYi Zen Hei"/>
        <family val="2"/>
      </rPr>
      <t xml:space="preserve">監察院</t>
    </r>
    <r>
      <rPr>
        <sz val="10"/>
        <rFont val="Arial"/>
        <family val="0"/>
        <charset val="1"/>
      </rPr>
      <t xml:space="preserve">)</t>
    </r>
  </si>
  <si>
    <t xml:space="preserve">Investigation of his father’s 1996 complaint, opened in 2004, suspended in 2005 and resumed in 2008</t>
  </si>
  <si>
    <r>
      <rPr>
        <sz val="10"/>
        <rFont val="Arial"/>
        <family val="0"/>
        <charset val="1"/>
      </rPr>
      <t xml:space="preserve">Other (specify): illegal handling of the investigation and trial, attributed to the speedy-trial practice of military justice “</t>
    </r>
    <r>
      <rPr>
        <sz val="10"/>
        <rFont val="WenQuanYi Zen Hei"/>
        <family val="2"/>
      </rPr>
      <t xml:space="preserve">而生冤抑” </t>
    </r>
    <r>
      <rPr>
        <sz val="10"/>
        <rFont val="Arial"/>
        <family val="0"/>
        <charset val="1"/>
      </rPr>
      <t xml:space="preserve">(which gave rise to injustice)</t>
    </r>
  </si>
  <si>
    <t xml:space="preserve">Censured the Ministry for handing the case to a counter-intelligence unit without judicial-police authority, for the illegal extraction of the confession, for the courts’ failure to examine whether it was voluntary, and for carrying out the execution while evidence pointing to another serviceman was disregarded. Coded B as a written finding by a constitutional oversight body that the conviction was unjust (D2); the earlier conference table also coded the case B.</t>
  </si>
  <si>
    <t xml:space="preserve">Action 2 — Military retrial acquittal (Category A)</t>
  </si>
  <si>
    <r>
      <rPr>
        <sz val="10"/>
        <rFont val="Arial"/>
        <family val="0"/>
        <charset val="1"/>
      </rPr>
      <t xml:space="preserve">Retrial judgment (</t>
    </r>
    <r>
      <rPr>
        <sz val="10"/>
        <rFont val="WenQuanYi Zen Hei"/>
        <family val="2"/>
      </rPr>
      <t xml:space="preserve">再審判決</t>
    </r>
    <r>
      <rPr>
        <sz val="10"/>
        <rFont val="Arial"/>
        <family val="0"/>
        <charset val="1"/>
      </rPr>
      <t xml:space="preserve">) [verify: case number: reported as 100</t>
    </r>
    <r>
      <rPr>
        <sz val="10"/>
        <rFont val="WenQuanYi Zen Hei"/>
        <family val="2"/>
      </rPr>
      <t xml:space="preserve">年再字第</t>
    </r>
    <r>
      <rPr>
        <sz val="10"/>
        <rFont val="Arial"/>
        <family val="0"/>
        <charset val="1"/>
      </rPr>
      <t xml:space="preserve">1</t>
    </r>
    <r>
      <rPr>
        <sz val="10"/>
        <rFont val="WenQuanYi Zen Hei"/>
        <family val="2"/>
      </rPr>
      <t xml:space="preserve">號</t>
    </r>
    <r>
      <rPr>
        <sz val="10"/>
        <rFont val="Arial"/>
        <family val="0"/>
        <charset val="1"/>
      </rPr>
      <t xml:space="preserve">]</t>
    </r>
  </si>
  <si>
    <t xml:space="preserve">2011-09-13 (precision: day)</t>
  </si>
  <si>
    <r>
      <rPr>
        <sz val="10"/>
        <rFont val="Arial"/>
        <family val="0"/>
        <charset val="1"/>
      </rPr>
      <t xml:space="preserve">Northern District Military Court, Ministry of National Defense (</t>
    </r>
    <r>
      <rPr>
        <sz val="10"/>
        <rFont val="WenQuanYi Zen Hei"/>
        <family val="2"/>
      </rPr>
      <t xml:space="preserve">國防部北部地方軍事法院</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</si>
  <si>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on petitions by his mother (received 2011-02-10) and by a military prosecutor (2011-02-24); retrial ordered 2011-05-26</t>
    </r>
  </si>
  <si>
    <t xml:space="preserve">[verify: judgment not seen]</t>
  </si>
  <si>
    <t xml:space="preserve">Posthumous acquittal; the judgment became final.</t>
  </si>
  <si>
    <t xml:space="preserve">Action 1 — Supreme Court review decision (Category A)</t>
  </si>
  <si>
    <t xml:space="preserve">Extraordinary appeal decision quashing a final judgment</t>
  </si>
  <si>
    <t xml:space="preserve">Putusan peninjauan kembali (PK) — Supreme Court review decision [verify: number]</t>
  </si>
  <si>
    <t xml:space="preserve">Year: 1981 | Precision: year (Supreme Court news portal; The Jakarta Post) [verify: date; one account dates the review to 1980]</t>
  </si>
  <si>
    <t xml:space="preserve">Mahkamah Agung Republik Indonesia (Supreme Court of Indonesia)</t>
  </si>
  <si>
    <t xml:space="preserve">Peninjauan kembali (PK) under PERMA No. 1 of 1980, issued in response to the case; a request lodged through the Bekasi District Court on 1980-11-03 is reported (Dandapala) [verify]</t>
  </si>
  <si>
    <t xml:space="preserve">New evidence of innocence: the other prisoner’s confession, accepted as a new circumstance (academic account) [verify: decision not seen]</t>
  </si>
  <si>
    <t xml:space="preserve">The Supreme Court granted review and the two men were freed. Whether the outcome was acquittal (bebas) or release from all charges (lepas) is not confirmed. One account dates a suspension of their sentences and their release to 4 November 1980, before the decision [verify].</t>
  </si>
  <si>
    <r>
      <rPr>
        <sz val="10"/>
        <rFont val="Arial"/>
        <family val="0"/>
        <charset val="1"/>
      </rPr>
      <t xml:space="preserve">Criminal judgment (</t>
    </r>
    <r>
      <rPr>
        <sz val="10"/>
        <rFont val="WenQuanYi Zen Hei"/>
        <family val="2"/>
      </rPr>
      <t xml:space="preserve">刑事判决书</t>
    </r>
    <r>
      <rPr>
        <sz val="10"/>
        <rFont val="Arial"/>
        <family val="0"/>
        <charset val="1"/>
      </rPr>
      <t xml:space="preserve">), (2019)</t>
    </r>
    <r>
      <rPr>
        <sz val="10"/>
        <rFont val="WenQuanYi Zen Hei"/>
        <family val="2"/>
      </rPr>
      <t xml:space="preserve">赣刑再</t>
    </r>
    <r>
      <rPr>
        <sz val="10"/>
        <rFont val="Arial"/>
        <family val="0"/>
        <charset val="1"/>
      </rPr>
      <t xml:space="preserve">3</t>
    </r>
    <r>
      <rPr>
        <sz val="10"/>
        <rFont val="WenQuanYi Zen Hei"/>
        <family val="2"/>
      </rPr>
      <t xml:space="preserve">号</t>
    </r>
  </si>
  <si>
    <t xml:space="preserve">2020-08-04 (precision: day)</t>
  </si>
  <si>
    <r>
      <rPr>
        <sz val="10"/>
        <rFont val="Arial"/>
        <family val="0"/>
        <charset val="1"/>
      </rPr>
      <t xml:space="preserve">Jiangxi Higher People’s Court (</t>
    </r>
    <r>
      <rPr>
        <sz val="10"/>
        <rFont val="WenQuanYi Zen Hei"/>
        <family val="2"/>
      </rPr>
      <t xml:space="preserve">江西省高级人民法院</t>
    </r>
    <r>
      <rPr>
        <sz val="10"/>
        <rFont val="Arial"/>
        <family val="0"/>
        <charset val="1"/>
      </rPr>
      <t xml:space="preserve">)</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</si>
  <si>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 petition 2017-08-22; docketed for review 2018-06-13 (single report); retrial decision (2018)</t>
    </r>
    <r>
      <rPr>
        <sz val="10"/>
        <rFont val="WenQuanYi Zen Hei"/>
        <family val="2"/>
      </rPr>
      <t xml:space="preserve">赣刑申</t>
    </r>
    <r>
      <rPr>
        <sz val="10"/>
        <rFont val="Arial"/>
        <family val="0"/>
        <charset val="1"/>
      </rPr>
      <t xml:space="preserve">27</t>
    </r>
    <r>
      <rPr>
        <sz val="10"/>
        <rFont val="WenQuanYi Zen Hei"/>
        <family val="2"/>
      </rPr>
      <t xml:space="preserve">号</t>
    </r>
    <r>
      <rPr>
        <sz val="10"/>
        <rFont val="Arial"/>
        <family val="0"/>
        <charset val="1"/>
      </rPr>
      <t xml:space="preserve">, 2019-03-01; pre-trial meetings 2020-01-20 and 2020-06-09; public hearing 2020-07-09</t>
    </r>
  </si>
  <si>
    <r>
      <rPr>
        <sz val="10"/>
        <rFont val="Arial"/>
        <family val="0"/>
        <charset val="1"/>
      </rPr>
      <t xml:space="preserve">Insufficiency of the original evidence: “</t>
    </r>
    <r>
      <rPr>
        <sz val="10"/>
        <rFont val="WenQuanYi Zen Hei"/>
        <family val="2"/>
      </rPr>
      <t xml:space="preserve">原审据以定案的证据没有达到确实、充分的法定证明标准，认定张玉环犯故意杀人罪的事实不清、证据不足”</t>
    </r>
  </si>
  <si>
    <r>
      <rPr>
        <sz val="10"/>
        <rFont val="Arial"/>
        <family val="0"/>
        <charset val="1"/>
      </rPr>
      <t xml:space="preserve">The court set aside the 2001 judgment and ruling and declared him not guilty. It found the physical evidence not linked to the case or to him (</t>
    </r>
    <r>
      <rPr>
        <sz val="10"/>
        <rFont val="WenQuanYi Zen Hei"/>
        <family val="2"/>
      </rPr>
      <t xml:space="preserve">在案物证与本案或张玉环缺乏关联</t>
    </r>
    <r>
      <rPr>
        <sz val="10"/>
        <rFont val="Arial"/>
        <family val="0"/>
        <charset val="1"/>
      </rPr>
      <t xml:space="preserve">) and the truth of his confessions doubtful (</t>
    </r>
    <r>
      <rPr>
        <sz val="10"/>
        <rFont val="WenQuanYi Zen Hei"/>
        <family val="2"/>
      </rPr>
      <t xml:space="preserve">有罪供述真实性存疑</t>
    </r>
    <r>
      <rPr>
        <sz val="10"/>
        <rFont val="Arial"/>
        <family val="0"/>
        <charset val="1"/>
      </rPr>
      <t xml:space="preserve">), because they were unstable, contradicted each other and came after the evidence had been gathered (</t>
    </r>
    <r>
      <rPr>
        <sz val="10"/>
        <rFont val="WenQuanYi Zen Hei"/>
        <family val="2"/>
      </rPr>
      <t xml:space="preserve">先证后供</t>
    </r>
    <r>
      <rPr>
        <sz val="10"/>
        <rFont val="Arial"/>
        <family val="0"/>
        <charset val="1"/>
      </rPr>
      <t xml:space="preserve">). The procuratorate had recommended acquittal. After the verdict a responsible official of the court apologised to him on the court’s behalf and told him of his right to state compensation (not coded B; D2).</t>
    </r>
  </si>
  <si>
    <r>
      <rPr>
        <sz val="10"/>
        <rFont val="Arial"/>
        <family val="0"/>
        <charset val="1"/>
      </rPr>
      <t xml:space="preserve">State compensation decision (</t>
    </r>
    <r>
      <rPr>
        <sz val="10"/>
        <rFont val="WenQuanYi Zen Hei"/>
        <family val="2"/>
      </rPr>
      <t xml:space="preserve">国家赔偿决定书</t>
    </r>
    <r>
      <rPr>
        <sz val="10"/>
        <rFont val="Arial"/>
        <family val="0"/>
        <charset val="1"/>
      </rPr>
      <t xml:space="preserve">) [verify: text]</t>
    </r>
  </si>
  <si>
    <t xml:space="preserve">2020-10 (precision: month): agreement 2020-10-12; decision served 2020-10-30 [verify: date of the decision]</t>
  </si>
  <si>
    <r>
      <rPr>
        <sz val="10"/>
        <rFont val="Arial"/>
        <family val="0"/>
        <charset val="1"/>
      </rPr>
      <t xml:space="preserve">Jiangxi Higher People’s Court, as the compensation obligor (</t>
    </r>
    <r>
      <rPr>
        <sz val="10"/>
        <rFont val="WenQuanYi Zen Hei"/>
        <family val="2"/>
      </rPr>
      <t xml:space="preserve">赔偿义务机关</t>
    </r>
    <r>
      <rPr>
        <sz val="10"/>
        <rFont val="Arial"/>
        <family val="0"/>
        <charset val="1"/>
      </rPr>
      <t xml:space="preserve">)</t>
    </r>
  </si>
  <si>
    <r>
      <rPr>
        <sz val="10"/>
        <rFont val="Arial"/>
        <family val="0"/>
        <charset val="1"/>
      </rPr>
      <t xml:space="preserve">State Compensation Law (</t>
    </r>
    <r>
      <rPr>
        <sz val="10"/>
        <rFont val="WenQuanYi Zen Hei"/>
        <family val="2"/>
      </rPr>
      <t xml:space="preserve">国家赔偿法</t>
    </r>
    <r>
      <rPr>
        <sz val="10"/>
        <rFont val="Arial"/>
        <family val="0"/>
        <charset val="1"/>
      </rPr>
      <t xml:space="preserve">); application 2020-09-02, made on the ground of the acquittal on retrial</t>
    </r>
  </si>
  <si>
    <t xml:space="preserve">RMB 4,960,521.50 by agreement: RMB 3,390,521.50 for 9,778 days’ loss of liberty and RMB 1,570,000 for mental harm. Coded B on its reported content, as for ARWC-CHN-001 (D1).</t>
  </si>
  <si>
    <r>
      <rPr>
        <sz val="10"/>
        <rFont val="Arial"/>
        <family val="0"/>
        <charset val="1"/>
      </rPr>
      <t xml:space="preserve">Retrial judgment (</t>
    </r>
    <r>
      <rPr>
        <sz val="10"/>
        <rFont val="WenQuanYi Zen Hei"/>
        <family val="2"/>
      </rPr>
      <t xml:space="preserve">재심 판결</t>
    </r>
    <r>
      <rPr>
        <sz val="10"/>
        <rFont val="Arial"/>
        <family val="0"/>
        <charset val="1"/>
      </rPr>
      <t xml:space="preserve">), </t>
    </r>
    <r>
      <rPr>
        <sz val="10"/>
        <rFont val="WenQuanYi Zen Hei"/>
        <family val="2"/>
      </rPr>
      <t xml:space="preserve">수원지방법원 </t>
    </r>
    <r>
      <rPr>
        <sz val="10"/>
        <rFont val="Arial"/>
        <family val="0"/>
        <charset val="1"/>
      </rPr>
      <t xml:space="preserve">2019</t>
    </r>
    <r>
      <rPr>
        <sz val="10"/>
        <rFont val="WenQuanYi Zen Hei"/>
        <family val="2"/>
      </rPr>
      <t xml:space="preserve">재고합</t>
    </r>
    <r>
      <rPr>
        <sz val="10"/>
        <rFont val="Arial"/>
        <family val="0"/>
        <charset val="1"/>
      </rPr>
      <t xml:space="preserve">17 (as reported by Law Times)</t>
    </r>
  </si>
  <si>
    <t xml:space="preserve">2020-12-17 (precision: day)</t>
  </si>
  <si>
    <r>
      <rPr>
        <sz val="10"/>
        <rFont val="Arial"/>
        <family val="0"/>
        <charset val="1"/>
      </rPr>
      <t xml:space="preserve">Suwon District Court, 12th Criminal Division (</t>
    </r>
    <r>
      <rPr>
        <sz val="10"/>
        <rFont val="WenQuanYi Zen Hei"/>
        <family val="2"/>
      </rPr>
      <t xml:space="preserve">수원지방법원 제</t>
    </r>
    <r>
      <rPr>
        <sz val="10"/>
        <rFont val="Arial"/>
        <family val="0"/>
        <charset val="1"/>
      </rPr>
      <t xml:space="preserve">12</t>
    </r>
    <r>
      <rPr>
        <sz val="10"/>
        <rFont val="WenQuanYi Zen Hei"/>
        <family val="2"/>
      </rPr>
      <t xml:space="preserve">형사부</t>
    </r>
    <r>
      <rPr>
        <sz val="10"/>
        <rFont val="Arial"/>
        <family val="0"/>
        <charset val="1"/>
      </rPr>
      <t xml:space="preserve">)</t>
    </r>
  </si>
  <si>
    <r>
      <rPr>
        <sz val="10"/>
        <rFont val="Arial"/>
        <family val="0"/>
        <charset val="1"/>
      </rPr>
      <t xml:space="preserve">Retrial (</t>
    </r>
    <r>
      <rPr>
        <sz val="10"/>
        <rFont val="WenQuanYi Zen Hei"/>
        <family val="2"/>
      </rPr>
      <t xml:space="preserve">재심</t>
    </r>
    <r>
      <rPr>
        <sz val="10"/>
        <rFont val="Arial"/>
        <family val="0"/>
        <charset val="1"/>
      </rPr>
      <t xml:space="preserve">) under the Criminal Procedure Act. Petition 2019-11-13 on grounds under art. 420 (5), (1) and (7); the Suwon District Prosecutors’ Office told the court on 2019-12-23 that grounds for retrial existed; the court ordered a retrial on 2020-01-14, finding clear new evidence of innocence (art. 420(5)) [verify: whether it also accepted (7)]; the prosecution asked for acquittal on 2020-11-19.</t>
    </r>
  </si>
  <si>
    <t xml:space="preserve">New evidence of innocence: another man’s confession, found highly credible. The court also held the confession and police statements inadmissible as illegally obtained, and the radioisotope analysis erroneous and unreliable.</t>
  </si>
  <si>
    <t xml:space="preserve">Acquittal. The presiding judge apologised for the court’s failure to act as “the last bulwark of human rights” (not coded B; D2). The prosecution waived its appeal and the acquittal became final on 2020-12-17.</t>
  </si>
  <si>
    <t xml:space="preserve">Action 2 — State-damages judgment (Category B) (D9)</t>
  </si>
  <si>
    <r>
      <rPr>
        <sz val="10"/>
        <rFont val="Arial"/>
        <family val="0"/>
        <charset val="1"/>
      </rPr>
      <t xml:space="preserve">State compensation decision (a civil judgment under the State Compensation Act, </t>
    </r>
    <r>
      <rPr>
        <sz val="10"/>
        <rFont val="WenQuanYi Zen Hei"/>
        <family val="2"/>
      </rPr>
      <t xml:space="preserve">국가배상법</t>
    </r>
    <r>
      <rPr>
        <sz val="10"/>
        <rFont val="Arial"/>
        <family val="0"/>
        <charset val="1"/>
      </rPr>
      <t xml:space="preserve">; D9)</t>
    </r>
  </si>
  <si>
    <r>
      <rPr>
        <sz val="10"/>
        <rFont val="Arial"/>
        <family val="0"/>
        <charset val="1"/>
      </rPr>
      <t xml:space="preserve">Civil judgment in a state-liability action (</t>
    </r>
    <r>
      <rPr>
        <sz val="10"/>
        <rFont val="WenQuanYi Zen Hei"/>
        <family val="2"/>
      </rPr>
      <t xml:space="preserve">국가배상 판결</t>
    </r>
    <r>
      <rPr>
        <sz val="10"/>
        <rFont val="Arial"/>
        <family val="0"/>
        <charset val="1"/>
      </rPr>
      <t xml:space="preserve">) [verify: case number]</t>
    </r>
  </si>
  <si>
    <t xml:space="preserve">2022-11-16 (precision: day)</t>
  </si>
  <si>
    <r>
      <rPr>
        <sz val="10"/>
        <rFont val="Arial"/>
        <family val="0"/>
        <charset val="1"/>
      </rPr>
      <t xml:space="preserve">Seoul Central District Court, 45th Civil Division (</t>
    </r>
    <r>
      <rPr>
        <sz val="10"/>
        <rFont val="WenQuanYi Zen Hei"/>
        <family val="2"/>
      </rPr>
      <t xml:space="preserve">서울중앙지방법원 민사합의</t>
    </r>
    <r>
      <rPr>
        <sz val="10"/>
        <rFont val="Arial"/>
        <family val="0"/>
        <charset val="1"/>
      </rPr>
      <t xml:space="preserve">45</t>
    </r>
    <r>
      <rPr>
        <sz val="10"/>
        <rFont val="WenQuanYi Zen Hei"/>
        <family val="2"/>
      </rPr>
      <t xml:space="preserve">부</t>
    </r>
    <r>
      <rPr>
        <sz val="10"/>
        <rFont val="Arial"/>
        <family val="0"/>
        <charset val="1"/>
      </rPr>
      <t xml:space="preserve">)</t>
    </r>
  </si>
  <si>
    <r>
      <rPr>
        <sz val="10"/>
        <rFont val="Arial"/>
        <family val="0"/>
        <charset val="1"/>
      </rPr>
      <t xml:space="preserve">Damages action against the Republic of Korea under the State Compensation Act (</t>
    </r>
    <r>
      <rPr>
        <sz val="10"/>
        <rFont val="WenQuanYi Zen Hei"/>
        <family val="2"/>
      </rPr>
      <t xml:space="preserve">국가배상법</t>
    </r>
    <r>
      <rPr>
        <sz val="10"/>
        <rFont val="Arial"/>
        <family val="0"/>
        <charset val="1"/>
      </rPr>
      <t xml:space="preserve">). On 2022-12-01 the Ministry of Justice announced that the state would not appeal [verify: whether the plaintiffs appealed; date of finality].</t>
    </r>
  </si>
  <si>
    <t xml:space="preserve">Other (specify): state liability for the unlawful acts of the police investigators in 1989; unlawful acts by the prosecutors were not found proven</t>
  </si>
  <si>
    <r>
      <rPr>
        <sz val="10"/>
        <rFont val="Arial"/>
        <family val="0"/>
        <charset val="1"/>
      </rPr>
      <t xml:space="preserve">Awarded Yoon about KRW 1.869 billion after deducting the criminal compensation, on an assessment that included KRW 4 billion for mental suffering and about KRW 130 million in lost earnings; KRW 200 million was awarded in respect of his late father and KRW 50 million to each of two siblings (about KRW 2.17 billion in all). Announcing that it would not appeal, the Ministry said that where the investigating authorities’ error had been clearly established the state accepted its responsibility (“</t>
    </r>
    <r>
      <rPr>
        <sz val="10"/>
        <rFont val="WenQuanYi Zen Hei"/>
        <family val="2"/>
      </rPr>
      <t xml:space="preserve">수사기관의 과오가 명백히 밝혀진 사안에 대해 국가가 그 책임을 인정”</t>
    </r>
    <r>
      <rPr>
        <sz val="10"/>
        <rFont val="Arial"/>
        <family val="0"/>
        <charset val="1"/>
      </rPr>
      <t xml:space="preserve">), and apologised on behalf of the state. Coded B under D1.</t>
    </r>
  </si>
  <si>
    <t xml:space="preserve">Action 1 — Supreme Court acquittal after recall of its final judgment on review (Category A)</t>
  </si>
  <si>
    <t xml:space="preserve">Post-finality appellate acquittal</t>
  </si>
  <si>
    <t xml:space="preserve">Judgment (English, the language of the Supreme Court), Criminal Appeal Nos. 1008–1009 of 2007 with 881–882 of 2009 and 268–269 of 2019; reported as 2019 SCC OnLine SC 317 and AIR 2019 SC 1457</t>
  </si>
  <si>
    <t xml:space="preserve">2019-03-05 (precision: day)</t>
  </si>
  <si>
    <t xml:space="preserve">Supreme Court of India, three-judge bench</t>
  </si>
  <si>
    <t xml:space="preserve">Review of the Supreme Court’s final judgment, then rehearing of the appeals. Review Petition (Crl.) Nos. 34–35 of 2010 (A1, A2 and A4) and 18–19 of 2011 (A3, A5 and A6) were first dismissed [verify: date], reopened after Mohd. Arif v. Registrar, Supreme Court of India (2014) on Crl. M.P. Nos. 7008–09 of 2016 and heard in open court; on 2018-10-31 a three-judge bench allowed them, recalled the judgment of 2009-04-30 for all six, restored the appeals for a fresh hearing and permitted A3, A5 and A6 to appeal against the High Court’s judgment (Criminal Appeal Nos. 268–269 of 2019). The restored and new appeals were decided on 2019-03-05.</t>
  </si>
  <si>
    <t xml:space="preserve">Insufficiency of the original evidence; procedural or legal error: “it is not safe to convict the accused solely on the basis of their identification by PW1 &amp; PW8 in the TI parade and/or before the Court” (para 9.6); “a serious lapse on the part of the investigating agency, which has affected the fair investigation and fair trial”, held to violate the accused’s rights under Articles 20 and 21 (para 11.1).</t>
  </si>
  <si>
    <t xml:space="preserve">The Court acquitted all six of all charges. As reported, it also ordered the State of Maharashtra to pay ₹5,00,000 to each, directed the Chief Secretary (Home Department) to enquire and take departmental action within three months against erring officers still in service, and directed further investigation under s. 173(8) CrPC concerning four other men [verify: operative paragraph].</t>
  </si>
  <si>
    <t xml:space="preserve">Action 1 — Retrial acquittal by the Nazareth District Court (Category A)</t>
  </si>
  <si>
    <t xml:space="preserve">הכרעת דין במשפט חוזר (verdict in a retrial), תפ״ח 502-07 [verify: confirm that the verdict bears this number; the retrial decision of 2021-06-02 does]</t>
  </si>
  <si>
    <t xml:space="preserve">2023-03-30 (precision: day)</t>
  </si>
  <si>
    <t xml:space="preserve">Nazareth District Court (בית המשפט המחוזי בנצרת), three judges, none from the original panel: the presiding judge and a second judge in the majority; the third judge dissenting and in favour of conviction (JPost; ice; Makor Rishon)</t>
  </si>
  <si>
    <t xml:space="preserve">Retrial (משפט חוזר) ordered on 2021-05-11 by the Deputy President of the Supreme Court on Zadorov’s application, with a direction that, as far as possible, no member of the original panel sit (decision of 2021-06-02 at [4]); statutory basis presumably s. 31 of the Courts Law [Consolidated Version], 5744-1984 (חוק בתי המשפט [נוסח משולב], התשמ״ד-1984) [verify: decision number (מ״ח) and subsection]. Released to house arrest on 2021-08-26. The state decided on 2023-05-14 not to appeal (Walla; Makor Rishon).</t>
  </si>
  <si>
    <t xml:space="preserve">Insufficiency of the original evidence: guilt not proved beyond reasonable doubt. The majority held that the findings at the scene did not match the confession and that there was a substantial concern that it was false (JPost; Makor Rishon). The retrial had been ordered on new forensic opinions (decision of 2021-06-02 at [35]).</t>
  </si>
  <si>
    <t xml:space="preserve">By two to one, the court acquitted him of murder, the majority finding his confession unreliable; the dissenting judge would have convicted. The acquittal stood when the state decided not to appeal on 2023-05-14.</t>
  </si>
  <si>
    <t xml:space="preserve">Action 1 — Supreme Court opinion on Presidential Reference No. 1 of 2011 (Category B)</t>
  </si>
  <si>
    <t xml:space="preserve">Other (specify): advisory opinion of the Supreme Court on a presidential reference under Article 186 of the Constitution, finding that the trial and the appeal did not meet the requirements of a fair trial and due process; the conviction was not set aside</t>
  </si>
  <si>
    <t xml:space="preserve">Opinion of the Supreme Court in its advisory jurisdiction (English is the language of the proceedings), Reference No. 1 of 2011: unanimous short opinion announced 2024-03-06; detailed reasons of 48 pages, written by the Chief Justice, issued 2024-07-08 (The News; Business Recorder); separate notes by two members of the bench reported on 2024-12-18 (Dawn) and 2026-02-01 (Dunya News)</t>
  </si>
  <si>
    <t xml:space="preserve">2024-03-06 (precision: day): short opinion; detailed reasons 2024-07-08 (as reported) [verify: date on the official document]</t>
  </si>
  <si>
    <t xml:space="preserve">Supreme Court of Pakistan (advisory jurisdiction), nine-member bench headed by the Chief Justice; unanimous (Dawn; The News)</t>
  </si>
  <si>
    <t xml:space="preserve">Presidential reference under Article 186 of the Constitution, filed by the President on 2011-04-02 (The News; Geo). An 11-member bench under the then Chief Justice held five hearings (The News) [verify: hearing dates, 2011–2012]; a nine-member bench took the reference up again on 2023-12-12 (The News) [verify: date the opinion was reserved]. In this jurisdiction the court held that it “cannot reappraise the evidence and undo the decision of the case” (Geo).</t>
  </si>
  <si>
    <t xml:space="preserve">Procedural or legal error: the trial and the appeal “do not meet the requirements of the fundamental right to a fair trial and due process enshrined in Articles 4 and 9 of the Constitution” (short opinion, as reported by Dawn); the detailed reasons say that any one of the transgressions “may have vitiated the trial and the conviction” and that “cumulatively they destroyed any semblance of due process and fair trial” (as reported by The Nation and Business Recorder).</t>
  </si>
  <si>
    <t xml:space="preserve">The Supreme Court unanimously advised that Bhutto had not received a fair trial and due process at trial or on appeal, while stating that the Constitution and the law provide no mechanism to set aside the judgment, which attained finality when the review petition was dismissed (Dawn; Geo). The conviction formally stands (D12).</t>
  </si>
  <si>
    <t xml:space="preserve">Action 1 — Review acquittal by the Court of Appeal (Category A)</t>
  </si>
  <si>
    <t xml:space="preserve">Judgment on a criminal motion to reopen a concluded appeal (English is the language of the proceedings): Ilechukwu Uchechukwu Chukwudi v Public Prosecutor [2020] SGCA 90, Criminal Motion No 4 of 2017</t>
  </si>
  <si>
    <t xml:space="preserve">2020-09-17 (precision: day); reported 2020-09-18</t>
  </si>
  <si>
    <t xml:space="preserve">Court of Appeal of the Republic of Singapore: five judges (the Chief Justice, three Judges of Appeal and a Senior Judge); majority of four, judgment delivered by the Senior Judge; one Judge of Appeal dissenting (split as reported by TODAY)</t>
  </si>
  <si>
    <t xml:space="preserve">Criminal motion to reopen a concluded criminal appeal, filed 2017-04-05 and decided under the court’s inherent power on the test in Kho Jabing v Public Prosecutor [2016] 3 SLR 135, not under the statutory review procedure in CPC ss 394F–394K [verify: whether those provisions were in force in 2017]. On 2017-08-02 the court allowed the motion in part and remitted questions on PTSD to the trial judge ([2017] SGCA 44); the trial judge’s findings are in [2019] SGHC 161; judgment was reserved on 2020-06-12.</t>
  </si>
  <si>
    <t xml:space="preserve">Other (specify): fresh psychiatric evidence. The 2015 conviction turned on lies and omissions in his statements “for which there did not appear at the time to be any innocent explanation” ([2]); evidence that he suffered from PTSD “came to light” at the sentencing stage ([3]); the majority found “a plausible innocent explanation” for the lies (TODAY). See D19.</t>
  </si>
  <si>
    <t xml:space="preserve">By a majority of four to one, the Court of Appeal set aside the conviction it had entered in 2015 and acquitted him [verify: order as worded in the conclusion; the text read stops at [95]]. He was freed after almost nine years in remand (TODAY).</t>
  </si>
  <si>
    <t xml:space="preserve">Action 1 — Reopening decision annulling the final judgments (Category A)</t>
  </si>
  <si>
    <t xml:space="preserve">Conviction vacated or annulled</t>
  </si>
  <si>
    <t xml:space="preserve">Quyết định tái thẩm — reopening decision [verify: number]</t>
  </si>
  <si>
    <t xml:space="preserve">2013-11-06 (precision: day)</t>
  </si>
  <si>
    <t xml:space="preserve">Hội đồng Thẩm phán Tòa án nhân dân tối cao (Judges’ Council of the Supreme People’s Court), sitting as a ten-member reopening council chaired by the Chief Justice</t>
  </si>
  <si>
    <t xml:space="preserve">Reopening (tái thẩm) for newly discovered circumstances, on Protest No. 01/QĐKNTT-VKSTC of the Chief Procurator of the Supreme People’s Procuracy, 2013-11-04; execution of the sentence suspended the same day by Decision No. 04/QĐTĐC-THA of a Deputy Chief Procurator. This was not cassation (giám đốc thẩm).</t>
  </si>
  <si>
    <t xml:space="preserve">New evidence of innocence: “tình tiết mới được phát hiện có thể làm thay đổi cơ bản nội dung vụ án” (as reported), namely the other man’s surrender and confession on 2013-10-25 and statements by members of his family; provisions cited as reported: art. 298(2) and art. 269(3) of the Criminal Procedure Code 2003 [verify: art. 269(3)]</t>
  </si>
  <si>
    <t xml:space="preserve">The council annulled first-instance judgment No. 45/HSST (2004-03-26) and appellate judgment No. 1241/PTHS (2004-07-27) and sent the file to the Supreme People’s Procuracy for re-investigation under the ordinary procedure (Tiền Phong; VietNamNet; a same-day report has the file going to the Ministry of Public Security’s police investigation agency, Thanh Tra). It did not acquit (see Action 2 and D13).</t>
  </si>
  <si>
    <t xml:space="preserve">Action 2 — Termination of the investigation (not categorised)</t>
  </si>
  <si>
    <t xml:space="preserve">Other (specify): termination of the investigation against the accused (đình chỉ điều tra bị can) after the annulment</t>
  </si>
  <si>
    <t xml:space="preserve">— (not marked; a non-judicial act that closed the proceedings reopened by Action 1; D13)</t>
  </si>
  <si>
    <t xml:space="preserve">Quyết định đình chỉ điều tra — decision terminating the investigation [verify: number and text]</t>
  </si>
  <si>
    <t xml:space="preserve">2014-01-25 (precision: day)</t>
  </si>
  <si>
    <t xml:space="preserve">Cơ quan Cảnh sát điều tra Bộ Công an (Police Investigation Agency, Ministry of Public Security) (Báo Tin tức; VietNamNet reports “Bộ Công an”)</t>
  </si>
  <si>
    <t xml:space="preserve">Re-investigation ordered by Action 1; termination under the Criminal Procedure Code 2003 [verify: article and ground]</t>
  </si>
  <si>
    <t xml:space="preserve">Not known: the decision was not seen [verify: ground of termination]</t>
  </si>
  <si>
    <t xml:space="preserve">Ended the proceedings against him 80 days after the annulment; no new prosecution of him followed. Recorded for completeness.</t>
  </si>
  <si>
    <t xml:space="preserve">Action 3 — Statutory public apology and correction (Category B)</t>
  </si>
  <si>
    <t xml:space="preserve">Other (specify): public apology and correction (xin lỗi, cải chính công khai) as restoration of honour under the State Compensation Liability Law</t>
  </si>
  <si>
    <t xml:space="preserve">Written apology and correction read at a public ceremony [verify: text]</t>
  </si>
  <si>
    <t xml:space="preserve">2015-04-17 (precision: day)</t>
  </si>
  <si>
    <t xml:space="preserve">Tòa phúc thẩm Tòa án nhân dân tối cao tại Hà Nội (Appeal Court of the Supreme People’s Court in Hanoi), as the court responsible for compensation; read by a deputy chief judge</t>
  </si>
  <si>
    <t xml:space="preserve">Restoration of honour under Law No. 35/2009/QH12 on State Compensation Liability (art. 51 as read [verify]), at the People’s Committee of Nghĩa Trung commune</t>
  </si>
  <si>
    <t xml:space="preserve">Other (specify): that he did not commit the killing and that there are sufficient grounds to establish this (Báo Tin tức, as reported)</t>
  </si>
  <si>
    <t xml:space="preserve">The court that had upheld his life sentence apologised to him publicly and corrected the record. Coded B as a statutory instrument with prescribed form, not a press-conference or courtesy apology (D2, D16).</t>
  </si>
  <si>
    <t xml:space="preserve">Action 4 — State compensation (Category B)</t>
  </si>
  <si>
    <t xml:space="preserve">Compensation agreement under the State Compensation Liability Law [verify: settlement record or decision; number]</t>
  </si>
  <si>
    <t xml:space="preserve">2015-05 (precision: month): agreement reached at the end of May 2015 after negotiation sessions on 2014-08-15 and 2015-03-17 (VnExpress) [verify: date of the instrument]</t>
  </si>
  <si>
    <t xml:space="preserve">Supreme People’s Court (as reported); paid through the High People’s Court in Hanoi from funds allocated by the Ministry of Finance [verify: which court issued the instrument]</t>
  </si>
  <si>
    <t xml:space="preserve">Law No. 35/2009/QH12: art. 26 (criminal proceedings; persons whom a judgment or decision determines did not commit the crime) and the provision making the appellate court responsible where its judgment was annulled for re-investigation and the investigation was then terminated because the person did not commit the crime (art. 32 as read [verify])</t>
  </si>
  <si>
    <t xml:space="preserve">Not known: the instrument was not seen [verify]; the statutory trigger is a determination that he did not commit the crime (art. 26)</t>
  </si>
  <si>
    <t xml:space="preserve">About VND 7.2 billion against some 9.3 billion claimed (VnExpress; VTC News); receipt in full reported on 2015-10-16 (VietNamNet). Coded B under D1 because the 2009 law conditions compensation on a determination of innocence, not on acquittal as such (D16).</t>
  </si>
  <si>
    <t xml:space="preserve">Section</t>
  </si>
  <si>
    <t xml:space="preserve">B. Individual</t>
  </si>
  <si>
    <t xml:space="preserve">B1. Individual — Sengkon (Section B repeated; D5)</t>
  </si>
  <si>
    <t xml:space="preserve">Sengkon bin Yakin (as in the 1977 judgment; the earlier ARWC table has “Jakin”)</t>
  </si>
  <si>
    <t xml:space="preserve">Sengkon</t>
  </si>
  <si>
    <t xml:space="preserve">48 (as stated in the 1977 judgment)</t>
  </si>
  <si>
    <t xml:space="preserve">5.9</t>
  </si>
  <si>
    <t xml:space="preserve">Yes (detained from 1974-12-11; released 1980-11-04 by one account, or in 1981 by the Supreme Court’s news portal) [verify: release date]</t>
  </si>
  <si>
    <t xml:space="preserve">B2. Individual — Karta (Section B repeated; D5)</t>
  </si>
  <si>
    <t xml:space="preserve">Karta alias Karung alias Encep bin Salam (as in the 1977 judgment)</t>
  </si>
  <si>
    <t xml:space="preserve">Karta</t>
  </si>
  <si>
    <t xml:space="preserve">36 (as stated in the 1977 judgment)</t>
  </si>
  <si>
    <t xml:space="preserve">3.3</t>
  </si>
  <si>
    <t xml:space="preserve">Yes (detained 1974-12-09 to 1974-12-28, then from 1977-07-26 until release, as for Sengkon) [verify: release date]</t>
  </si>
  <si>
    <t xml:space="preserve">B. Individual (abridged)</t>
  </si>
  <si>
    <t xml:space="preserve">B1. Individual — Ankush Maruti Shinde (accused no. 1) (Section B repeated; D5)</t>
  </si>
  <si>
    <t xml:space="preserve">Ankush Maruti Shinde (as in the judgments, which are in English) [verify: Marathi (Devanagari) spelling]</t>
  </si>
  <si>
    <t xml:space="preserve">Ankush Maruti Shinde</t>
  </si>
  <si>
    <t xml:space="preserve">Unknown [verify: date of birth]. Reported to have been found to be a juvenile, that is under 18 at the offence in June 2003 (ThePrint, 2019-03-06, citing the judgment); the 2019 judgment says one of the accused was 17 without naming him (para 9.4). First-instance judgment 2006-06-12 (D8).</t>
  </si>
  <si>
    <t xml:space="preserve">8.5–9.5 (computed range)</t>
  </si>
  <si>
    <t xml:space="preserve">Yes (detained 2003-06-23; released in 2012 after being declared a juvenile, per counsel’s submission recorded in the 2019 judgment, para 5.49, with his identity as reported by ThePrint; 3,114–3,479 days depending on the release date) [verify: release date and the authority that declared him a juvenile]</t>
  </si>
  <si>
    <t xml:space="preserve">B2. Individual — Rajya Appa Shinde (accused no. 2) (Section B repeated; D5)</t>
  </si>
  <si>
    <t xml:space="preserve">Rajya Appa Shinde (as in the judgments) [verify: Marathi (Devanagari) spelling]</t>
  </si>
  <si>
    <t xml:space="preserve">Rajya Appa Shinde</t>
  </si>
  <si>
    <t xml:space="preserve">Unknown [verify: date of birth] (the 2019 judgment says two of the accused were “around 20 years” without naming them; para 9.4). First-instance judgment 2006-06-12 (D8).</t>
  </si>
  <si>
    <t xml:space="preserve">15.7</t>
  </si>
  <si>
    <t xml:space="preserve">Yes (detained 2003-06-23; computed to the acquittal on 2019-03-05, 5,734 days; release date not found) [verify: release date]</t>
  </si>
  <si>
    <t xml:space="preserve">B3. Individual — Ambadas Laxman Shinde (accused no. 3) (Section B repeated; D5)</t>
  </si>
  <si>
    <t xml:space="preserve">Ambadas Laxman Shinde (as in the judgments) [verify: Marathi (Devanagari) spelling]</t>
  </si>
  <si>
    <t xml:space="preserve">Ambadas Laxman Shinde</t>
  </si>
  <si>
    <t xml:space="preserve">Unknown [verify: date of birth] (see B2 on para 9.4). First-instance judgment 2006-06-12 (D8).</t>
  </si>
  <si>
    <t xml:space="preserve">Yes (detained 2003-06-27; computed to the acquittal on 2019-03-05, 5,730 days; release date not found) [verify: release date]</t>
  </si>
  <si>
    <t xml:space="preserve">B4. Individual — Raju Mhasu Shinde (accused no. 4) (Section B repeated; D5)</t>
  </si>
  <si>
    <t xml:space="preserve">Raju Mhasu Shinde (as in the judgments) [verify: Marathi (Devanagari) spelling]</t>
  </si>
  <si>
    <t xml:space="preserve">Raju Mhasu Shinde</t>
  </si>
  <si>
    <t xml:space="preserve">B5. Individual — Bapu Appa Shinde (accused no. 5) (Section B repeated; D5)</t>
  </si>
  <si>
    <t xml:space="preserve">Bapu Appa Shinde (as in the judgments) [verify: Marathi (Devanagari) spelling]</t>
  </si>
  <si>
    <t xml:space="preserve">Bapu Appa Shinde</t>
  </si>
  <si>
    <t xml:space="preserve">B6. Individual — Surya alias Suresh (accused no. 6) (Section B repeated; D5)</t>
  </si>
  <si>
    <t xml:space="preserve">Surya alias Suresh, son of Nagu alias Gangaram Shinde (2019 judgment’s list of accused) [verify: surname spelled “Sinde” in the text as extracted; Marathi (Devanagari) spelling]</t>
  </si>
  <si>
    <t xml:space="preserve">Surya alias Suresh Shinde</t>
  </si>
  <si>
    <t xml:space="preserve">14.4</t>
  </si>
  <si>
    <t xml:space="preserve">Yes (detained 2004-10-07; computed to the acquittal on 2019-03-05, 5,262 days; release date not found) [verify: release date]</t>
  </si>
  <si>
    <t xml:space="preserve">Source type</t>
  </si>
  <si>
    <t xml:space="preserve">Title (original / English)</t>
  </si>
  <si>
    <t xml:space="preserve">Authority / author</t>
  </si>
  <si>
    <t xml:space="preserve">Date</t>
  </si>
  <si>
    <t xml:space="preserve">Availability</t>
  </si>
  <si>
    <t xml:space="preserve">Judgment</t>
  </si>
  <si>
    <t xml:space="preserve">最高人民法院再审判决书 / SPC Retrial Judgment</t>
  </si>
  <si>
    <t xml:space="preserve">Supreme People's Court</t>
  </si>
  <si>
    <t xml:space="preserve">2016-12-02 (day)</t>
  </si>
  <si>
    <r>
      <rPr>
        <sz val="10"/>
        <rFont val="Arial"/>
        <family val="0"/>
        <charset val="1"/>
      </rPr>
      <t xml:space="preserve">Published in the official judicial gazette (</t>
    </r>
    <r>
      <rPr>
        <sz val="10"/>
        <rFont val="WenQuanYi Zen Hei"/>
        <family val="2"/>
      </rPr>
      <t xml:space="preserve">人民法院公报</t>
    </r>
    <r>
      <rPr>
        <sz val="10"/>
        <rFont val="Arial"/>
        <family val="0"/>
        <charset val="1"/>
      </rPr>
      <t xml:space="preserve">)</t>
    </r>
  </si>
  <si>
    <t xml:space="preserve">Compensation decision</t>
  </si>
  <si>
    <t xml:space="preserve">国家赔偿决定书 / State Compensation Decision</t>
  </si>
  <si>
    <t xml:space="preserve">2017 (year)</t>
  </si>
  <si>
    <t xml:space="preserve">Official record</t>
  </si>
  <si>
    <t xml:space="preserve">原一、二审判决书 / Original first- and second-instance judgments</t>
  </si>
  <si>
    <t xml:space="preserve">Shijiazhuang City Intermediate People's Court; Hebei Higher People's Court</t>
  </si>
  <si>
    <t xml:space="preserve">1995 (year)</t>
  </si>
  <si>
    <t xml:space="preserve">Underlying conviction documents</t>
  </si>
  <si>
    <t xml:space="preserve">王书金案相关审判文书 / Wang Shujin case documents</t>
  </si>
  <si>
    <t xml:space="preserve">Hebei Higher People's Court</t>
  </si>
  <si>
    <t xml:space="preserve">2015 (year)</t>
  </si>
  <si>
    <t xml:space="preserve">Documents the confession and the non-charging decision</t>
  </si>
  <si>
    <t xml:space="preserve">Academic publication</t>
  </si>
  <si>
    <t xml:space="preserve">He (2016), China Review; Zhong &amp; Dai (2019), Journal of Contemporary China</t>
  </si>
  <si>
    <t xml:space="preserve">2016; 2019</t>
  </si>
  <si>
    <t xml:space="preserve">Supporting context</t>
  </si>
  <si>
    <t xml:space="preserve">再審判決 / Retrial judgment (平成20年(た)第1号)</t>
  </si>
  <si>
    <t xml:space="preserve">Shizuoka District Court</t>
  </si>
  <si>
    <t xml:space="preserve">2024-09-26</t>
  </si>
  <si>
    <t xml:space="preserve">再審開始決定 / Retrial-commencement decision</t>
  </si>
  <si>
    <t xml:space="preserve">2014-03-27</t>
  </si>
  <si>
    <t xml:space="preserve">https://www.courts.go.jp/hanrei/92001/detail4/index.html</t>
  </si>
  <si>
    <t xml:space="preserve">刑事補償決定 / Criminal compensation decision</t>
  </si>
  <si>
    <t xml:space="preserve">2025-03-24</t>
  </si>
  <si>
    <t xml:space="preserve">Not seen; reported by Kyodo (via Khaosod English) https://www.khaosodenglish.com/news/international/2025/03/25/japanese-man-acquitted-of-1966-murders-awarded-record-criminal-compensation/amp/</t>
  </si>
  <si>
    <t xml:space="preserve">Other (parliamentary record; D9)</t>
  </si>
  <si>
    <t xml:space="preserve">Written question 216-29 and Cabinet answer (date of the Prosecutor-General’s statement; waiver of appeal; final 2024-10-09)</t>
  </si>
  <si>
    <t xml:space="preserve">House of Representatives</t>
  </si>
  <si>
    <t xml:space="preserve">2024-11-28 / 2024-12-10</t>
  </si>
  <si>
    <t xml:space="preserve">https://www.shugiin.go.jp/internet/itdb_shitsumon.nsf/html/shitsumon/a216029.htm ; https://www.shugiin.go.jp/internet/itdb_shitsumon.nsf/html/shitsumon/b216029.htm</t>
  </si>
  <si>
    <t xml:space="preserve">Written question 186-106 on the Hakamada case (former professional boxer; the 2014 order)</t>
  </si>
  <si>
    <t xml:space="preserve">2014-04-04</t>
  </si>
  <si>
    <t xml:space="preserve">https://www.shugiin.go.jp/internet/itdb_shitsumon.nsf/html/shitsumon/a186106.htm</t>
  </si>
  <si>
    <t xml:space="preserve">Media report</t>
  </si>
  <si>
    <t xml:space="preserve">Prosecutors will not appeal; the Prosecutor-General’s statement and apology</t>
  </si>
  <si>
    <t xml:space="preserve">AP (via ABC News)</t>
  </si>
  <si>
    <t xml:space="preserve">2024-10-08</t>
  </si>
  <si>
    <t xml:space="preserve">https://abcnews.go.com/International/wireStory/japan-prosecutors-appeal-acquittal-worlds-longest-death-row-114590302</t>
  </si>
  <si>
    <t xml:space="preserve">Prosecutors’ verification report, which did not examine the fabrication findings</t>
  </si>
  <si>
    <t xml:space="preserve">Kyodo (via Chiba Nippo)</t>
  </si>
  <si>
    <t xml:space="preserve">2024-12-26</t>
  </si>
  <si>
    <t xml:space="preserve">https://www.chibanippo.co.jp/newspack/20241226/1320746</t>
  </si>
  <si>
    <t xml:space="preserve">Other (defence presentation; D9)</t>
  </si>
  <si>
    <t xml:space="preserve">袴田事件が示す再審法の問題点 / Problems of retrial law shown by the Hakamada case (slides by a member of the defence team; source for the disclosure dates)</t>
  </si>
  <si>
    <t xml:space="preserve">Defence counsel; hosted on the Ministry of Justice website</t>
  </si>
  <si>
    <t xml:space="preserve">2025-05-30</t>
  </si>
  <si>
    <t xml:space="preserve">https://www.moj.go.jp/content/001440378.pdf</t>
  </si>
  <si>
    <t xml:space="preserve">Chronology of the case, 1966–2024 (graphic)</t>
  </si>
  <si>
    <t xml:space="preserve">Shizuoka Shimbun</t>
  </si>
  <si>
    <t xml:space="preserve">https://www.at-s.com/news/others/images/g20240926.pdf (age at arrest; first hearing; release after 47 years 7 months)</t>
  </si>
  <si>
    <t xml:space="preserve">再審判決 / Retrial judgment (平成14年(た)第4号)</t>
  </si>
  <si>
    <t xml:space="preserve">Utsunomiya District Court</t>
  </si>
  <si>
    <t xml:space="preserve">2010-03-26</t>
  </si>
  <si>
    <t xml:space="preserve">Administrative document</t>
  </si>
  <si>
    <t xml:space="preserve">足利事件における警察捜査の問題点等について（概要） / Review of the police investigation (summary)</t>
  </si>
  <si>
    <t xml:space="preserve">National Police Agency</t>
  </si>
  <si>
    <t xml:space="preserve">2010-04</t>
  </si>
  <si>
    <t xml:space="preserve">https://www.npa.go.jp/bureau/criminal/sousa/torishirabe/houkokushogaiyou.pdf</t>
  </si>
  <si>
    <t xml:space="preserve">Prosecutorial document</t>
  </si>
  <si>
    <t xml:space="preserve">いわゆる足利事件における捜査・公判活動の問題点等について（概要） / Review of the prosecution’s handling (summary)</t>
  </si>
  <si>
    <t xml:space="preserve">Supreme Public Prosecutors Office</t>
  </si>
  <si>
    <t xml:space="preserve">2010-04-01</t>
  </si>
  <si>
    <t xml:space="preserve">https://www.kensatsu.go.jp/content/001320675.pdf</t>
  </si>
  <si>
    <t xml:space="preserve">Other (bar association; D9)</t>
  </si>
  <si>
    <t xml:space="preserve">「足利事件」調査報告書 / Investigation report (chronology: tissue, questioning times, hearings)</t>
  </si>
  <si>
    <t xml:space="preserve">Japan Federation of Bar Associations</t>
  </si>
  <si>
    <t xml:space="preserve">2011-05-06</t>
  </si>
  <si>
    <t xml:space="preserve">https://www.nichibenren.or.jp/library/pdf/document/opinion/2011/110506_2.pdf</t>
  </si>
  <si>
    <t xml:space="preserve">Written questions quoting the apologies (171st Diet nos. 561 and 628) and his account of the interrogation (no. 504)</t>
  </si>
  <si>
    <t xml:space="preserve">2009-06 / 2009-07</t>
  </si>
  <si>
    <t xml:space="preserve">https://www.shugiin.go.jp/internet/itdb_shitsumon.nsf/html/shitsumon/a171561.htm ; https://www.shugiin.go.jp/internet/itdb_shitsumon.nsf/html/shitsumon/a171628.htm ; https://www.shugiin.go.jp/internet/itdb_shitsumon.nsf/html/shitsumon/a171504.htm</t>
  </si>
  <si>
    <t xml:space="preserve">Release; prosecutors’ opinion accepting a retrial</t>
  </si>
  <si>
    <t xml:space="preserve">AFP (AFPBB)</t>
  </si>
  <si>
    <t xml:space="preserve">2009-06-05</t>
  </si>
  <si>
    <t xml:space="preserve">https://www.afpbb.com/articles/-/2608873</t>
  </si>
  <si>
    <t xml:space="preserve">Acquittal and the judges’ apology</t>
  </si>
  <si>
    <t xml:space="preserve">AFP (via The Himalayan Times)</t>
  </si>
  <si>
    <t xml:space="preserve">2010-03-27</t>
  </si>
  <si>
    <t xml:space="preserve">https://thehimalayantimes.com/ampArticle/108768</t>
  </si>
  <si>
    <t xml:space="preserve">Criminal compensation of about JPY 80 million for 6,395 days</t>
  </si>
  <si>
    <t xml:space="preserve">Gendai Business (Kodansha)</t>
  </si>
  <si>
    <t xml:space="preserve">2011-01-28</t>
  </si>
  <si>
    <t xml:space="preserve">https://gendai.media/articles/-/1973 (only source found for the date and day count)</t>
  </si>
  <si>
    <t xml:space="preserve">國防部北部地方軍事法院 再審判決 / Military retrial judgment [verify: reported as 100年再字第1號]</t>
  </si>
  <si>
    <t xml:space="preserve">Northern District Military Court</t>
  </si>
  <si>
    <t xml:space="preserve">2011-09-13</t>
  </si>
  <si>
    <t xml:space="preserve">Not seen; recited in the Taipei District Court judgment below</t>
  </si>
  <si>
    <t xml:space="preserve">臺灣臺北地方法院 101年度重國字第22號 / State recourse judgment (recites the acquittal and the compensation decision)</t>
  </si>
  <si>
    <t xml:space="preserve">Taipei District Court</t>
  </si>
  <si>
    <t xml:space="preserve">2014-05-29</t>
  </si>
  <si>
    <t xml:space="preserve">https://judgment.judicial.gov.tw/FJUD/data.aspx?ty=JD&amp;id=TPDV%2c101%2c%e9%87%8d%e5%9c%8b%2c22%2c20140529%2c1</t>
  </si>
  <si>
    <t xml:space="preserve">刑事補償決定 / Criminal compensation decision (NT$103,185,000)</t>
  </si>
  <si>
    <t xml:space="preserve">2011-10-26</t>
  </si>
  <si>
    <t xml:space="preserve">Not seen; recited in the Taipei District Court judgment (2014)</t>
  </si>
  <si>
    <t xml:space="preserve">糾正案文 99司正4 / Correction of the Ministry of National Defense</t>
  </si>
  <si>
    <t xml:space="preserve">Control Yuan</t>
  </si>
  <si>
    <t xml:space="preserve">2010-05</t>
  </si>
  <si>
    <t xml:space="preserve">調查報告 / Investigation report (chronology; 速審速結…而生冤抑)</t>
  </si>
  <si>
    <t xml:space="preserve">2010</t>
  </si>
  <si>
    <t xml:space="preserve">https://cybsbox.cy.gov.tw/CYBSBoxSSL/edoc/download/50042</t>
  </si>
  <si>
    <t xml:space="preserve">糾正案件結案情形 (101年1月) / Closing report (33 commendations revoked on 2011-05-26)</t>
  </si>
  <si>
    <t xml:space="preserve">2012-01</t>
  </si>
  <si>
    <t xml:space="preserve">https://cybsbox.cy.gov.tw/CYBSBoxSSL/edoc/additional/download/2779</t>
  </si>
  <si>
    <t xml:space="preserve">Press release: joint task force; detention of the other serviceman (2011-01-28)</t>
  </si>
  <si>
    <t xml:space="preserve">Supreme Prosecutors Office</t>
  </si>
  <si>
    <t xml:space="preserve">2011-02-09</t>
  </si>
  <si>
    <t xml:space="preserve">https://www.tps.moj.gov.tw/16314/16462/16490/16494/225907</t>
  </si>
  <si>
    <t xml:space="preserve">Press release: evidence sent for re-examination</t>
  </si>
  <si>
    <t xml:space="preserve">2011-03-11</t>
  </si>
  <si>
    <t xml:space="preserve">https://www.tps.moj.gov.tw/16314/16462/16490/16494/225919</t>
  </si>
  <si>
    <t xml:space="preserve">Press release: findings on the interrogation; time bar; indictment; prosecutor’s retrial petition</t>
  </si>
  <si>
    <t xml:space="preserve">2011-05-24</t>
  </si>
  <si>
    <t xml:space="preserve">https://www.tps.moj.gov.tw/16314/16462/16490/16494/225931</t>
  </si>
  <si>
    <t xml:space="preserve">Taiwan: wrongful execution reopens death penalty debate (Ministry and presidential apologies)</t>
  </si>
  <si>
    <t xml:space="preserve">Inter Press Service</t>
  </si>
  <si>
    <t xml:space="preserve">2011-02-05</t>
  </si>
  <si>
    <t xml:space="preserve">https://www.ipsnews.net/2011/02/taiwan-wrongful-execution-reopens-death-penalty-debate/</t>
  </si>
  <si>
    <t xml:space="preserve">Retrial ordered; petition received 2011-02-10</t>
  </si>
  <si>
    <t xml:space="preserve">Newtalk</t>
  </si>
  <si>
    <t xml:space="preserve">2011-05-26</t>
  </si>
  <si>
    <t xml:space="preserve">https://newtalk.tw/news/view/2011-05-26/14679</t>
  </si>
  <si>
    <t xml:space="preserve">Recourse judgments final (Supreme Court, 2019-02-15)</t>
  </si>
  <si>
    <t xml:space="preserve">PTS</t>
  </si>
  <si>
    <t xml:space="preserve">2019-02-16</t>
  </si>
  <si>
    <t xml:space="preserve">https://news.pts.org.tw/article/422681</t>
  </si>
  <si>
    <t xml:space="preserve">314 days’ custody; ages at arrest and execution</t>
  </si>
  <si>
    <t xml:space="preserve">The News Lens</t>
  </si>
  <si>
    <t xml:space="preserve">2017-10-26</t>
  </si>
  <si>
    <t xml:space="preserve">https://www.thenewslens.com/article/81977 (secondary; only source for 314 days)</t>
  </si>
  <si>
    <t xml:space="preserve">Final acquittal of the other serviceman (2014-03-19); date of birth; acquittal date</t>
  </si>
  <si>
    <t xml:space="preserve">PTS (2014-03-20); Taipei Times (2014-07-11; 2022-08-07)</t>
  </si>
  <si>
    <t xml:space="preserve">[verify: URLs]</t>
  </si>
  <si>
    <t xml:space="preserve">Putusan Pengadilan Negeri Bekasi No. 2/KTS/Bks/1977 / Bekasi District Court judgment</t>
  </si>
  <si>
    <t xml:space="preserve">Pengadilan Negeri Bekasi</t>
  </si>
  <si>
    <t xml:space="preserve">1977-10-20</t>
  </si>
  <si>
    <t xml:space="preserve">Number and date per MARINews (below); text reproduced in O. Seno Adji, Herziening, Ganti Rugi, Suap, Perkembangan Delik (Erlangga, 1984), pp. 109–161, reprinted in the Yudhistira thesis (below)</t>
  </si>
  <si>
    <t xml:space="preserve">Putusan Pengadilan Tinggi Bandung No. 38/1978/Pid/PTB / Appeal judgment</t>
  </si>
  <si>
    <t xml:space="preserve">Pengadilan Tinggi Bandung</t>
  </si>
  <si>
    <t xml:space="preserve">1978-05-25</t>
  </si>
  <si>
    <t xml:space="preserve">Not seen; cited by MARINews</t>
  </si>
  <si>
    <t xml:space="preserve">Putusan peninjauan kembali / Supreme Court review decision</t>
  </si>
  <si>
    <t xml:space="preserve">Mahkamah Agung</t>
  </si>
  <si>
    <t xml:space="preserve">1981 [verify]</t>
  </si>
  <si>
    <t xml:space="preserve">Not located [verify: number and date]</t>
  </si>
  <si>
    <t xml:space="preserve">Other (court news portal; D9)</t>
  </si>
  <si>
    <t xml:space="preserve">Menjaga Marwah Peninjauan Kembali Perkara Pidana Sebagai Upaya Hukum Luar Biasa (Jupriyadi)</t>
  </si>
  <si>
    <t xml:space="preserve">MARINews, Mahkamah Agung</t>
  </si>
  <si>
    <t xml:space="preserve">2026-06-23</t>
  </si>
  <si>
    <t xml:space="preserve">https://marinews.mahkamahagung.go.id/artikel/menjaga-marwah-peninjauan-kembali-perkara-pidana-0bmo</t>
  </si>
  <si>
    <t xml:space="preserve">Kehadiran Pemohon/Terpidana dalam Persidangan PK (H.R. Taqiyya and W. Fitra)</t>
  </si>
  <si>
    <t xml:space="preserve">2025-05-14</t>
  </si>
  <si>
    <t xml:space="preserve">https://marinews.mahkamahagung.go.id/artikel/kehadiran-pemohonterpidana-dalam-persidangan-pk-0h5</t>
  </si>
  <si>
    <t xml:space="preserve">Salah Hukum (Abuse of Justice) dalam Kasus Sengkon–Karta Perspektif Hukum Islam (undergraduate thesis; reproduces the 1977 judgment)</t>
  </si>
  <si>
    <t xml:space="preserve">Ainun Yudhistira, UIN Sunan Kalijaga</t>
  </si>
  <si>
    <t xml:space="preserve">2009</t>
  </si>
  <si>
    <t xml:space="preserve">https://digilib.uin-suka.ac.id/id/eprint/3083/1/BAB%20I%2CV.pdf</t>
  </si>
  <si>
    <t xml:space="preserve">Editorial: Defending wrong judgment (sentences; torture; release in 1981)</t>
  </si>
  <si>
    <t xml:space="preserve">The Jakarta Post</t>
  </si>
  <si>
    <t xml:space="preserve">2008-09-02</t>
  </si>
  <si>
    <t xml:space="preserve">Ketua MA, Dari Kusumah Atmadja Hingga Harifin A. Tumpa (PERMA 1/1980 and the case)</t>
  </si>
  <si>
    <t xml:space="preserve">Hukumonline</t>
  </si>
  <si>
    <t xml:space="preserve">2009-01-25</t>
  </si>
  <si>
    <t xml:space="preserve">https://www.hukumonline.com/berita/a/ketua-ma-dari-kusumah-atmadja-hingga-harifin-a-tumpa-hol21016/</t>
  </si>
  <si>
    <t xml:space="preserve">Kontribusi DNA Forensik dalam Merevisi Penghukuman yang Salah (Choky R. Ramadhan)</t>
  </si>
  <si>
    <t xml:space="preserve">2020-08-24</t>
  </si>
  <si>
    <t xml:space="preserve">https://www.hukumonline.com/berita/a/kontribusi-dna-forensik-dalam-merevisi-penghukuman-yang-salah-lt5f43324f02b87/</t>
  </si>
  <si>
    <t xml:space="preserve">Legislation</t>
  </si>
  <si>
    <t xml:space="preserve">PERMA No. 1 Tahun 1980</t>
  </si>
  <si>
    <t xml:space="preserve">1980</t>
  </si>
  <si>
    <t xml:space="preserve">Published in K. Wantjik Saleh (Ghalia Indonesia, 1980); no official online copy found</t>
  </si>
  <si>
    <t xml:space="preserve">UU No. 8 Tahun 1981 (KUHAP), Pasal 263</t>
  </si>
  <si>
    <t xml:space="preserve">1981-12-31</t>
  </si>
  <si>
    <t xml:space="preserve">https://peraturan.bpk.go.id/Details/47041/uu-no-8-tahun-1981</t>
  </si>
  <si>
    <t xml:space="preserve">UU No. 20 Tahun 2025 (KUHAP; in force 2026-01-02; repeals UU 8/1981)</t>
  </si>
  <si>
    <t xml:space="preserve">2025</t>
  </si>
  <si>
    <t xml:space="preserve">https://peraturan.bpk.go.id/Details/337302</t>
  </si>
  <si>
    <t xml:space="preserve">Kisah Salah Tangkap Sengkon-Karta dan PK Pertama di Indonesia (2025-04-05); Untold Stories Perlawanan Sengkon - Karta Usai Divonis Bebas (2026-03-30)</t>
  </si>
  <si>
    <t xml:space="preserve">Dandapala</t>
  </si>
  <si>
    <t xml:space="preserve">2025; 2026</t>
  </si>
  <si>
    <t xml:space="preserve">Could not be opened on re-check; facts resting only on these are marked. https://dandapala.com/article/detail/kisah-salah-tangkap-sengkon-karta-dan-pk-pertama-di-indonesia</t>
  </si>
  <si>
    <t xml:space="preserve">江西省高级人民法院刑事判决书 (2019)赣刑再3号 / Retrial judgment</t>
  </si>
  <si>
    <t xml:space="preserve">2020-08-04</t>
  </si>
  <si>
    <t xml:space="preserve">Full text published by The Paper https://www.thepaper.cn/newsDetail_forward_8574221 (the transcript has typos, e.g., 1994 for 1993)</t>
  </si>
  <si>
    <t xml:space="preserve">江西高院再审宣判原审被告人张玉环无罪 (the court’s announcement; reasons; apology)</t>
  </si>
  <si>
    <t xml:space="preserve">Xinhua</t>
  </si>
  <si>
    <t xml:space="preserve">https://www.xinhuanet.com/politics/2020-08/04/c_1126325039.htm</t>
  </si>
  <si>
    <t xml:space="preserve">国家赔偿决定书 / State compensation decision</t>
  </si>
  <si>
    <t xml:space="preserve">2020-10 (served 2020-10-30)</t>
  </si>
  <si>
    <t xml:space="preserve">Not seen [verify: text]; the court’s disclosure reported by China News Service https://www.chinanews.com.cn/sh/2020/10-30/9326330.shtml and The Paper https://www.thepaper.cn/newsDetail_forward_9770770</t>
  </si>
  <si>
    <t xml:space="preserve">最高人民法院工作报告 / Supreme People’s Court work report (lists the retrial acquittal)</t>
  </si>
  <si>
    <t xml:space="preserve">Supreme People’s Court</t>
  </si>
  <si>
    <t xml:space="preserve">2021-03-08</t>
  </si>
  <si>
    <t xml:space="preserve">https://www.court.gov.cn/zixun/xiangqing/290831.html</t>
  </si>
  <si>
    <t xml:space="preserve">一九九六年中国人权事业的进展 / White paper on human rights in 1996 (abolition of 收容审查)</t>
  </si>
  <si>
    <t xml:space="preserve">State Council Information Office</t>
  </si>
  <si>
    <t xml:space="preserve">1997-03</t>
  </si>
  <si>
    <t xml:space="preserve">https://www.mfa.gov.cn/ziliao_674904/zt_674979/ywzt_675099/wzzt_675579/2296_675789/200207/t20020704_7961966.shtml</t>
  </si>
  <si>
    <t xml:space="preserve">Towards an Asian Registry of Wrongful Convictions (cites this retrial acquittal as a final conviction corrected on the original record, without new evidence)</t>
  </si>
  <si>
    <t xml:space="preserve">Zhang, Y., Otgaar, H., et al., Forensic Science International: Synergy 13, 100726</t>
  </si>
  <si>
    <t xml:space="preserve">2026</t>
  </si>
  <si>
    <t xml:space="preserve">Accepted manuscript in the project files [verify: DOI]</t>
  </si>
  <si>
    <t xml:space="preserve">9,778 days; the two statements; the 2001 ruling</t>
  </si>
  <si>
    <t xml:space="preserve">The Paper</t>
  </si>
  <si>
    <t xml:space="preserve">https://www.thepaper.cn/newsDetail_forward_8570436</t>
  </si>
  <si>
    <t xml:space="preserve">Weekly petitions; ruling without a hearing; no defence lawyer shown</t>
  </si>
  <si>
    <t xml:space="preserve">https://www.thepaper.cn/newsDetail_forward_8570409</t>
  </si>
  <si>
    <t xml:space="preserve">Pre-trial meetings (2020-01-20; 2020-06-09)</t>
  </si>
  <si>
    <t xml:space="preserve">2020-07-01</t>
  </si>
  <si>
    <t xml:space="preserve">https://www.thepaper.cn/newsDetail_forward_8073189</t>
  </si>
  <si>
    <t xml:space="preserve">Review docketed in June 2018; his former wife’s petitioning</t>
  </si>
  <si>
    <t xml:space="preserve">2019-03-29</t>
  </si>
  <si>
    <t xml:space="preserve">https://www.thepaper.cn/newsDetail_forward_3213063</t>
  </si>
  <si>
    <t xml:space="preserve">Docketing on 2018-06-13 (Upstream News, republished by The Paper)</t>
  </si>
  <si>
    <t xml:space="preserve">Upstream News</t>
  </si>
  <si>
    <t xml:space="preserve">2020-12-30</t>
  </si>
  <si>
    <t xml:space="preserve">https://www.thepaper.cn/newsDetail_forward_10592974 (single source for the day)</t>
  </si>
  <si>
    <t xml:space="preserve">Age when taken into custody; both sides sought acquittal</t>
  </si>
  <si>
    <t xml:space="preserve">Beijing News</t>
  </si>
  <si>
    <t xml:space="preserve">https://m.bjnews.com.cn/detail/159652902815504.html</t>
  </si>
  <si>
    <t xml:space="preserve">재심 판결 수원지방법원 2019재고합17 / Retrial judgment</t>
  </si>
  <si>
    <t xml:space="preserve">Suwon District Court, 12th Criminal Division</t>
  </si>
  <si>
    <t xml:space="preserve">2020-12-17</t>
  </si>
  <si>
    <t xml:space="preserve">Not seen; reported by Law Times https://www.lawtimes.co.kr/news/articleView.html?idxno=166641 and News Tomato https://newstomato.com/ReadNews.aspx?no=1013610</t>
  </si>
  <si>
    <t xml:space="preserve">Acquittal final on the prosecution’s waiver of appeal</t>
  </si>
  <si>
    <t xml:space="preserve">The Fact</t>
  </si>
  <si>
    <t xml:space="preserve">https://news.tf.co.kr/read/ogmeta/1832217.htm</t>
  </si>
  <si>
    <t xml:space="preserve">국가배상 판결 / State-damages judgment</t>
  </si>
  <si>
    <t xml:space="preserve">Seoul Central District Court, 45th Civil Division</t>
  </si>
  <si>
    <t xml:space="preserve">2022-11-16</t>
  </si>
  <si>
    <t xml:space="preserve">Not seen; reported by Newsis https://www.newsis.com/view/NISX20221116_0002088607 and Maeil Shinmun https://www.imaeil.com/page/view/2022111614392810890</t>
  </si>
  <si>
    <t xml:space="preserve">형사보상 결정 / Criminal compensation decision</t>
  </si>
  <si>
    <t xml:space="preserve">Suwon District Court, 5th Criminal Division</t>
  </si>
  <si>
    <t xml:space="preserve">2021-02-19</t>
  </si>
  <si>
    <t xml:space="preserve">Not seen; reported by Newsis on 2021-03-10 https://mobile.newsis.com/view/NISX20210310_0001366134</t>
  </si>
  <si>
    <t xml:space="preserve">Notice that the state will not appeal two state-damages judgments in the Hwaseong serial murder cases</t>
  </si>
  <si>
    <t xml:space="preserve">Ministry of Justice</t>
  </si>
  <si>
    <t xml:space="preserve">2022-12-01</t>
  </si>
  <si>
    <t xml:space="preserve">https://www.moj.go.kr/bbs/moj/182/565273/artclView.do (could not be opened); quoted by News Tomato https://newstomato.com/ReadNews.aspx?no=1163832</t>
  </si>
  <si>
    <t xml:space="preserve">Opinion to the court that grounds for retrial exist, including the falsely prepared forensic report</t>
  </si>
  <si>
    <t xml:space="preserve">Suwon District Prosecutors’ Office</t>
  </si>
  <si>
    <t xml:space="preserve">2019-12-23</t>
  </si>
  <si>
    <t xml:space="preserve">Not seen; reported by Newsis https://www.newsis.com/view/NISX20191223_0000869158 and Seoul Shinmun https://m.seoul.co.kr/news/2019/12/23/20191223500135</t>
  </si>
  <si>
    <t xml:space="preserve">Final results of the reinvestigation of the Hwaseong serial murders</t>
  </si>
  <si>
    <t xml:space="preserve">Gyeonggi Nambu Provincial Police Agency</t>
  </si>
  <si>
    <t xml:space="preserve">2020-07-02</t>
  </si>
  <si>
    <t xml:space="preserve">Not seen; reported by YTN https://www.ytn.co.kr/_ln/0103_202007021647550581; chronology by Newsis https://www.newsis.com/view/NISX20200702_0001081443</t>
  </si>
  <si>
    <t xml:space="preserve">Retrial ordered (2020-01-14)</t>
  </si>
  <si>
    <t xml:space="preserve">YTN</t>
  </si>
  <si>
    <t xml:space="preserve">2020-01-14</t>
  </si>
  <si>
    <t xml:space="preserve">https://www.ytn.co.kr/_ln/0103_202001142219308490</t>
  </si>
  <si>
    <t xml:space="preserve">Prosecution asks for acquittal and apologises</t>
  </si>
  <si>
    <t xml:space="preserve">2020-11-20</t>
  </si>
  <si>
    <t xml:space="preserve">https://news.tf.co.kr/read/ogmeta/1825972.htm</t>
  </si>
  <si>
    <t xml:space="preserve">Confession to fourteen murders (24–27 September 2019)</t>
  </si>
  <si>
    <t xml:space="preserve">Seoul Shinmun</t>
  </si>
  <si>
    <t xml:space="preserve">2019-10-04</t>
  </si>
  <si>
    <t xml:space="preserve">https://m.seoul.co.kr/news/2019/10/04/20191004500230</t>
  </si>
  <si>
    <t xml:space="preserve">Retrial petition; polio disability; appeals claiming torture</t>
  </si>
  <si>
    <t xml:space="preserve">Newsis</t>
  </si>
  <si>
    <t xml:space="preserve">2019-11-13</t>
  </si>
  <si>
    <t xml:space="preserve">https://mobile.newsis.com/view/NISX20191113_0000828512</t>
  </si>
  <si>
    <t xml:space="preserve">75 hours of illegal detention; eight people booked</t>
  </si>
  <si>
    <t xml:space="preserve">2019-12-18</t>
  </si>
  <si>
    <t xml:space="preserve">https://m.seoul.co.kr/news/2019/12/18/20191218012018</t>
  </si>
  <si>
    <t xml:space="preserve">A v Secretary for Justice [2020] HKCFI 427 (HCAL 176/2018)</t>
  </si>
  <si>
    <t xml:space="preserve">Court of First Instance</t>
  </si>
  <si>
    <t xml:space="preserve">2020-03-11</t>
  </si>
  <si>
    <t xml:space="preserve">Summary published by the Department of Justice https://www.doj.gov.hk/en/notable_judgments/pdf/HCAL_176_2018e.pdf; full text on the Legal Reference System (not reachable from here)</t>
  </si>
  <si>
    <t xml:space="preserve">Court of Appeal</t>
  </si>
  <si>
    <t xml:space="preserve">2015-09-16</t>
  </si>
  <si>
    <t xml:space="preserve">Not seen; reported in the HKU press release</t>
  </si>
  <si>
    <t xml:space="preserve">Other (university press release; D9)</t>
  </si>
  <si>
    <t xml:space="preserve">Two successful cases in clinical legal education (HKSAR v A)</t>
  </si>
  <si>
    <t xml:space="preserve">Faculty of Law, University of Hong Kong</t>
  </si>
  <si>
    <t xml:space="preserve">2015-09-25</t>
  </si>
  <si>
    <t xml:space="preserve">https://www.law.hku.hk/?p=8543</t>
  </si>
  <si>
    <t xml:space="preserve">Compensation for wrongful conviction, LC Paper No. CB(4)486/13-14(06) (guidelines 4(a)–(e); nine applications in five years)</t>
  </si>
  <si>
    <t xml:space="preserve">Department of Justice, for the LegCo Panel on Administration of Justice and Legal Services</t>
  </si>
  <si>
    <t xml:space="preserve">2014-03-25</t>
  </si>
  <si>
    <t xml:space="preserve">https://www.doj.gov.hk/en/legco/pdf/ajls20140325e3.pdf</t>
  </si>
  <si>
    <t xml:space="preserve">LCQ8: government reply on compensation for wrongful conviction</t>
  </si>
  <si>
    <t xml:space="preserve">Hong Kong Government</t>
  </si>
  <si>
    <t xml:space="preserve">2014-01-22</t>
  </si>
  <si>
    <t xml:space="preserve">https://www.info.gov.hk/gia/general/201401/22/P201401210610_print.htm</t>
  </si>
  <si>
    <t xml:space="preserve">Compensation for persons wrongfully imprisoned: information for claimants (out-of-time appeals; Chief Executive referrals)</t>
  </si>
  <si>
    <t xml:space="preserve">Department of Justice</t>
  </si>
  <si>
    <t xml:space="preserve">2004-06</t>
  </si>
  <si>
    <t xml:space="preserve">https://www.doj.gov.hk/en/legco/pdf/ann20040624e.pdf</t>
  </si>
  <si>
    <t xml:space="preserve">LegCo Brief, Criminal Procedure (Amendment) Bill 2023 (describes s. 83P)</t>
  </si>
  <si>
    <t xml:space="preserve">2023-05</t>
  </si>
  <si>
    <t xml:space="preserve">https://www.legco.gov.hk/yr2023/english/brief/cpa95002c_20230523-e.pdf</t>
  </si>
  <si>
    <t xml:space="preserve">Judgment Update No. 6 (Ch’ng Poh v Chief Executive: petition for pardon or referral refused)</t>
  </si>
  <si>
    <t xml:space="preserve">2004-09</t>
  </si>
  <si>
    <t xml:space="preserve">https://www.doj.gov.hk/en/publications/pdf/basiclaw/basic6-3.pdf</t>
  </si>
  <si>
    <t xml:space="preserve">Hong Kong Bill of Rights Ordinance (Cap. 383), art. 11(5); Criminal Procedure Ordinance (Cap. 221), s. 83P</t>
  </si>
  <si>
    <t xml:space="preserve">Hong Kong e-Legislation (not reachable from here)</t>
  </si>
  <si>
    <t xml:space="preserve">Court of Final Appeal quashes Donald Tsang’s conviction; no retrial</t>
  </si>
  <si>
    <t xml:space="preserve">Hong Kong Free Press</t>
  </si>
  <si>
    <t xml:space="preserve">2019-06-26</t>
  </si>
  <si>
    <t xml:space="preserve">https://hongkongfp.com/2019/06/26/hong-kong-court-quashes-conviction-former-leader-donald-tsang/</t>
  </si>
  <si>
    <t xml:space="preserve">High Court upholds the Alliance leaders’ convictions</t>
  </si>
  <si>
    <t xml:space="preserve">2024-03-14</t>
  </si>
  <si>
    <t xml:space="preserve">https://hongkongfp.com/2024/03/14/breaking-hong-kong-court-upholds-tiananmen-vigil-organisers-conviction-over-national-security-data-request/</t>
  </si>
  <si>
    <t xml:space="preserve">Court of Final Appeal quashes the convictions of three former Alliance leaders</t>
  </si>
  <si>
    <t xml:space="preserve">Voice of America; The Standard</t>
  </si>
  <si>
    <t xml:space="preserve">2025-03-06</t>
  </si>
  <si>
    <t xml:space="preserve">https://voanews.com/a/hong-kong-s-top-court-quashes-convictions-of-pro-democracy-tiananmen-group/8000733.html ; https://www.thestandard.com.hk/news/article/229279/Top-court-quashes-convictions-for-ex-alliance-trio</t>
  </si>
  <si>
    <t xml:space="preserve">Ankush Maruti Shinde and others v. State of Maharashtra, Criminal Appeal Nos. 1008–1009 of 2007 with 881–882 of 2009 and 268–269 of 2019 (2019 SCC OnLine SC 317; AIR 2019 SC 1457)</t>
  </si>
  <si>
    <t xml:space="preserve">Supreme Court of India (three-judge bench)</t>
  </si>
  <si>
    <t xml:space="preserve">2019-03-05</t>
  </si>
  <si>
    <t xml:space="preserve">https://api.sci.gov.in/supremecourt/2007/20604/20604_2007_2_1503_12987_Judgement_05-Mar-2019.pdf (read through para 13; the fetched text stopped before the operative paragraph). Reproduction: https://indiankanoon.org/doc/54814974/</t>
  </si>
  <si>
    <t xml:space="preserve">Ambadas Laxman Shinde and others v. State of Maharashtra, Review Petition (Crl.) Nos. 18–19 of 2011 in Criminal Appeal Nos. 881–882 of 2009, with Review Petition (Crl.) Nos. 34–35 of 2010 in Criminal Appeal Nos. 1008–1009 of 2007 and Crl. M.P. Nos. 7008–09 of 2016 (order)</t>
  </si>
  <si>
    <t xml:space="preserve">2018-10-31</t>
  </si>
  <si>
    <t xml:space="preserve">https://api.sci.gov.in/supremecourt/2010/40182/40182_2010_Order_31-Oct-2018.pdf</t>
  </si>
  <si>
    <t xml:space="preserve">Ankush Maruti Shinde and others v. State of Maharashtra, Criminal Appeal Nos. 1008–1009 of 2007 and 881–882 of 2009</t>
  </si>
  <si>
    <t xml:space="preserve">Supreme Court of India (two-judge bench)</t>
  </si>
  <si>
    <t xml:space="preserve">2009-04-30</t>
  </si>
  <si>
    <t xml:space="preserve">Reproduction read: https://indiankanoon.org/doc/602401/; official copy not located [verify: official copy and report citation]</t>
  </si>
  <si>
    <t xml:space="preserve">Confirmation Case No. 2 of 2006 with Criminal Appeal No. 590 of 2006</t>
  </si>
  <si>
    <t xml:space="preserve">High Court of Judicature at Bombay (Division Bench)</t>
  </si>
  <si>
    <t xml:space="preserve">2007-03-22</t>
  </si>
  <si>
    <t xml:space="preserve">Not seen; described in the 2019 judgment (paras 1–1.4)</t>
  </si>
  <si>
    <t xml:space="preserve">Sessions Case No. 43 of 2004</t>
  </si>
  <si>
    <t xml:space="preserve">3rd Ad-hoc Additional Sessions Judge, Nashik</t>
  </si>
  <si>
    <t xml:space="preserve">2006-06-12</t>
  </si>
  <si>
    <t xml:space="preserve">Not seen; described in the 2019 judgment</t>
  </si>
  <si>
    <t xml:space="preserve">Report of the acquittal (Ashok Kini): compensation, further investigation, departmental action, juvenile accused</t>
  </si>
  <si>
    <t xml:space="preserve">LiveLaw</t>
  </si>
  <si>
    <t xml:space="preserve">https://www.livelaw.in/top-stories/death-convicts-acquitted-143341</t>
  </si>
  <si>
    <t xml:space="preserve">SC Finally Corrects The Error: Acquits Six Persons Sentenced To Death By A 2009 Judgment (2009 bench; Ravji argument)</t>
  </si>
  <si>
    <t xml:space="preserve">https://www.livelaw.in/top-stories/sc-acquits-death-row-convicts-143331</t>
  </si>
  <si>
    <t xml:space="preserve">SC acquits 6 falsely implicated death row convicts in a 16 year old crime; orders reinvestigation (Prachi Bhardwaj)</t>
  </si>
  <si>
    <t xml:space="preserve">SCC Online blog</t>
  </si>
  <si>
    <t xml:space="preserve">2019-03-06</t>
  </si>
  <si>
    <t xml:space="preserve">https://www.scconline.com/blog/post/2019/03/06/sc-acquits-6-falsely-implicated-death-row-convicts-in-a-16-year-old-crime-orders-reinvestigation/</t>
  </si>
  <si>
    <t xml:space="preserve">SC acquits 6 men of murder &amp; rape charges, 9 years after it upheld their death sentence (Ritika Jain)</t>
  </si>
  <si>
    <t xml:space="preserve">ThePrint</t>
  </si>
  <si>
    <t xml:space="preserve">https://theprint.in/judiciary/sc-acquits-6-men-of-murder-rape-charges-9-years-after-it-upheld-their-death-sentence/201849/</t>
  </si>
  <si>
    <t xml:space="preserve">Supreme Court Acquits Six People on Death Row Who Spent 16 Years in Jail</t>
  </si>
  <si>
    <t xml:space="preserve">The Wire</t>
  </si>
  <si>
    <t xml:space="preserve">https://m.thewire.in/article/law/supreme-court-acquits-six-people-on-death-row-who-spent-16-years-in-jail</t>
  </si>
  <si>
    <t xml:space="preserve">החלטה בבקשות 180 ו-182, תפ״ח 502-07 מדינת ישראל נ׳ זדורוב (עציר), תיק חיצוני 98/07 / Decision on requests 180 and 182 in the retrial (refusal to take a third party’s testimony in advance); records the retrial order of 2021-05-11 and its grounds at [4], [35]–[37]</t>
  </si>
  <si>
    <t xml:space="preserve">Nazareth District Court</t>
  </si>
  <si>
    <t xml:space="preserve">2021-06-02</t>
  </si>
  <si>
    <t xml:space="preserve">הכרעת דין במשפט החוזר, תפ״ח 502-07 / Verdict in the retrial (acquittal by majority)</t>
  </si>
  <si>
    <t xml:space="preserve">2023-03-30</t>
  </si>
  <si>
    <t xml:space="preserve">Not read [verify: official copy]; reported by JPost, ice and Makor Rishon</t>
  </si>
  <si>
    <t xml:space="preserve">החלטה בבקשה למשפט חוזר, מ״ח [verify: number] זדורוב נ׳ מדינת ישראל / Decision ordering a retrial</t>
  </si>
  <si>
    <t xml:space="preserve">Supreme Court (Deputy President)</t>
  </si>
  <si>
    <t xml:space="preserve">2021-05-11</t>
  </si>
  <si>
    <t xml:space="preserve">Not read; cited in the decision of 2021-06-02 at [4], [36]</t>
  </si>
  <si>
    <t xml:space="preserve">ע״פ 7939/10 [verify: confirm number] זדורוב נ׳ מדינת ישראל / Judgment on appeal (appeal dismissed, two to one)</t>
  </si>
  <si>
    <t xml:space="preserve">Supreme Court</t>
  </si>
  <si>
    <t xml:space="preserve">2015-12-23</t>
  </si>
  <si>
    <t xml:space="preserve">Not read; reported by ynetnews</t>
  </si>
  <si>
    <t xml:space="preserve">דנ״פ [verify: number] / Decision rejecting the request for a further hearing</t>
  </si>
  <si>
    <t xml:space="preserve">Supreme Court (President)</t>
  </si>
  <si>
    <t xml:space="preserve">2016-07 [verify: day]</t>
  </si>
  <si>
    <t xml:space="preserve">Not read; reported by Walla, 2016-07-07</t>
  </si>
  <si>
    <t xml:space="preserve">הכרעת דין, תפ״ח 502-07 / Original verdict (conviction for murder)</t>
  </si>
  <si>
    <t xml:space="preserve">2010-09-14</t>
  </si>
  <si>
    <t xml:space="preserve">Report of the 2010 conviction and the court’s reasoning</t>
  </si>
  <si>
    <t xml:space="preserve">Ynet (ynetnews)</t>
  </si>
  <si>
    <t xml:space="preserve">https://www.ynetnews.com/article/3953839</t>
  </si>
  <si>
    <t xml:space="preserve">Report of the Supreme Court’s judgment on appeal and the dissent</t>
  </si>
  <si>
    <t xml:space="preserve">https://www.ynetnews.com/article/4743389</t>
  </si>
  <si>
    <t xml:space="preserve">‘הניסיון לשים סוף לתיק זדורוב רק יטפח את האניגמה’ / ‘The attempt to close the Zadorov file will only feed the enigma’ (opinion column reporting the rejection of the further-hearing request)</t>
  </si>
  <si>
    <t xml:space="preserve">Walla</t>
  </si>
  <si>
    <t xml:space="preserve">2016-07-07</t>
  </si>
  <si>
    <t xml:space="preserve">https://www.walla.co.il/news/opinions/2977272</t>
  </si>
  <si>
    <t xml:space="preserve">Report of the retrial order</t>
  </si>
  <si>
    <t xml:space="preserve">Israel Hayom</t>
  </si>
  <si>
    <t xml:space="preserve">https://israelhayom.com/2021/05/11/supreme-court-orders-retrial-of-man-convicted-of-murdering-israeli-schoolgirl</t>
  </si>
  <si>
    <t xml:space="preserve">Report of the new retrial panel</t>
  </si>
  <si>
    <t xml:space="preserve">Mako (N12)</t>
  </si>
  <si>
    <t xml:space="preserve">2021-05-31</t>
  </si>
  <si>
    <t xml:space="preserve">https://www.mako.co.il/news-law/2021_q2/Article-227ad10c051c971027.htm</t>
  </si>
  <si>
    <t xml:space="preserve">Report of the District Court’s order releasing him to house arrest with electronic monitoring</t>
  </si>
  <si>
    <t xml:space="preserve">Ynet</t>
  </si>
  <si>
    <t xml:space="preserve">2021-08-03</t>
  </si>
  <si>
    <t xml:space="preserve">https://www.ynet.co.il/article/91WT57OVM</t>
  </si>
  <si>
    <t xml:space="preserve">‘Supreme Court orders Roman Zadorov’s immediate release to house arrest after 15 years in jail’</t>
  </si>
  <si>
    <t xml:space="preserve">2021-08-26</t>
  </si>
  <si>
    <t xml:space="preserve">https://ynetnews.com/article/sylc6ne11k</t>
  </si>
  <si>
    <t xml:space="preserve">Report of the retrial acquittal, the split and the judges’ reasoning</t>
  </si>
  <si>
    <t xml:space="preserve">Jerusalem Post</t>
  </si>
  <si>
    <t xml:space="preserve">https://www.jpost.com/israel-news/article-735889</t>
  </si>
  <si>
    <t xml:space="preserve">Report of the acquittal and the dissent</t>
  </si>
  <si>
    <t xml:space="preserve">ice.co.il</t>
  </si>
  <si>
    <t xml:space="preserve">https://www.ice.co.il/law/news/article/954126</t>
  </si>
  <si>
    <t xml:space="preserve">‘הפרקליטות לא תערער על זיכוי רומן זדורוב’ / ‘The prosecution will not appeal Roman Zadorov’s acquittal’</t>
  </si>
  <si>
    <t xml:space="preserve">Makor Rishon</t>
  </si>
  <si>
    <t xml:space="preserve">2023-05 [verify: date]</t>
  </si>
  <si>
    <t xml:space="preserve">https://www.makorrishon.co.il/news/617257/</t>
  </si>
  <si>
    <t xml:space="preserve">‘זכאי סופית: המדינה החליטה שלא לערער על זיכויו של רומן זדורוב’ / ‘Finally acquitted: the state decided not to appeal Roman Zadorov’s acquittal’</t>
  </si>
  <si>
    <t xml:space="preserve">2023-05-14</t>
  </si>
  <si>
    <t xml:space="preserve">https://www.walla.co.il/news/law/3578671</t>
  </si>
  <si>
    <t xml:space="preserve">‘State agrees to compensate Roman Zadorov in record settlement’</t>
  </si>
  <si>
    <t xml:space="preserve">2025-09-04</t>
  </si>
  <si>
    <t xml:space="preserve">https://www.israelhayom.com/2025/09/04/state-agrees-to-compensate-roman-zadorov-in-record-settlement</t>
  </si>
  <si>
    <t xml:space="preserve">Report that the state will pay NIS 17 million; settlement submitted to the Tel Aviv District Court for approval</t>
  </si>
  <si>
    <t xml:space="preserve">Kan News</t>
  </si>
  <si>
    <t xml:space="preserve">https://www.kan.org.il/content/kan-news/local/948180/</t>
  </si>
  <si>
    <t xml:space="preserve">‘Roman Zadorov to receive 17 million shekels compensation for 15 years in prison’</t>
  </si>
  <si>
    <t xml:space="preserve">https://www.ynetnews.com/article/nvn9q4xyz</t>
  </si>
  <si>
    <t xml:space="preserve">Report of the settlement reached in mediation</t>
  </si>
  <si>
    <t xml:space="preserve">Calcalist</t>
  </si>
  <si>
    <t xml:space="preserve">2025 [verify: date]</t>
  </si>
  <si>
    <t xml:space="preserve">https://www.calcalist.co.il/local_news/article/hksytzt001g</t>
  </si>
  <si>
    <t xml:space="preserve">Report that he had received the compensation payment</t>
  </si>
  <si>
    <t xml:space="preserve">Kikar HaShabbat</t>
  </si>
  <si>
    <t xml:space="preserve">2025-12-09</t>
  </si>
  <si>
    <t xml:space="preserve">https://www.kikar.co.il/israel-news/roman-zadorov-compensation-payment</t>
  </si>
  <si>
    <t xml:space="preserve">Reference No. 1 of 2011 (Reference by the President under Article 186 of the Constitution): opinion of the Supreme Court, short opinion and detailed reasons (48 pages)</t>
  </si>
  <si>
    <t xml:space="preserve">Supreme Court of Pakistan (advisory jurisdiction), nine-member bench</t>
  </si>
  <si>
    <t xml:space="preserve">2024-03-06 (short opinion); 2024-07-08 (detailed reasons, as reported)</t>
  </si>
  <si>
    <t xml:space="preserve">https://www.supremecourt.gov.pk/downloads_judgements/reference_1_2011_08072024.pdf (returned 403 to the fetch tool; not read)</t>
  </si>
  <si>
    <t xml:space="preserve">Separate note in Reference No. 1 of 2011 (five pages) by a member of the bench, later Chief Justice</t>
  </si>
  <si>
    <t xml:space="preserve">Supreme Court of Pakistan</t>
  </si>
  <si>
    <t xml:space="preserve">Reported 2024-12-18 [verify: date of the note]</t>
  </si>
  <si>
    <t xml:space="preserve">Not read; reported by Dawn</t>
  </si>
  <si>
    <t xml:space="preserve">Separate note in Reference No. 1 of 2011 (24 pages) by another member of the bench</t>
  </si>
  <si>
    <t xml:space="preserve">Reported 2026-02-01 [verify: date of the note]</t>
  </si>
  <si>
    <t xml:space="preserve">Not read; reported by Dunya News</t>
  </si>
  <si>
    <t xml:space="preserve">Zulfikar Ali Bhutto v. The State: appeal against conviction and death sentence dismissed by four to three [verify: appeal number]</t>
  </si>
  <si>
    <t xml:space="preserve">Supreme Court of Pakistan (seven judges)</t>
  </si>
  <si>
    <t xml:space="preserve">1979-02-06</t>
  </si>
  <si>
    <t xml:space="preserve">Not read [verify: law report citation: a search-result title gives PLD 1979 SC 53; PLD 1979 SC 38 is not borne out by anything read]</t>
  </si>
  <si>
    <t xml:space="preserve">Review petition in the same appeal: dismissed</t>
  </si>
  <si>
    <t xml:space="preserve">1979-03-24</t>
  </si>
  <si>
    <t xml:space="preserve">Not read [verify: law report citation; PLD 1979 SC 741 unverified]</t>
  </si>
  <si>
    <t xml:space="preserve">Trial judgment convicting Bhutto and four co-accused and sentencing them to death [verify: title and case number]</t>
  </si>
  <si>
    <t xml:space="preserve">Lahore High Court (five judges, original trial)</t>
  </si>
  <si>
    <t xml:space="preserve">1978-03-18</t>
  </si>
  <si>
    <t xml:space="preserve">Not read [verify: law report citation]</t>
  </si>
  <si>
    <t xml:space="preserve">SC says conditions of ‘fair trial, due process’ not met in Zulfikar Bhutto’s trial (bench; operative wording; no mechanism to set aside)</t>
  </si>
  <si>
    <t xml:space="preserve">Dawn</t>
  </si>
  <si>
    <t xml:space="preserve">2024-03-06</t>
  </si>
  <si>
    <t xml:space="preserve">Zulfikar Ali Bhutto was not given a fair trial: Supreme Court (filing date; answers to each question; finality; no reappraisal)</t>
  </si>
  <si>
    <t xml:space="preserve">Geo News</t>
  </si>
  <si>
    <t xml:space="preserve">https://www.geo.tv/latest/533852-zulfiqar-ali-bhutto-was-not-given-a-fair-trial-supreme-court</t>
  </si>
  <si>
    <t xml:space="preserve">Zulfikar Ali Bhutto didn’t get a fair trial, SC says in consensus ruling (filing date; hearing history; bench; execution date)</t>
  </si>
  <si>
    <t xml:space="preserve">The News</t>
  </si>
  <si>
    <t xml:space="preserve">https://www.thenews.com.pk/latest/1165049-zulkfikar-ali-bhutto-didnt-get-a-fair-trial-sc-says-in-consensus-ruling</t>
  </si>
  <si>
    <t xml:space="preserve">Report of the detailed reasons (issued 2024-07-08; findings on martial law and on the martial-law ruler’s interest in a conviction)</t>
  </si>
  <si>
    <t xml:space="preserve">2024-07-09</t>
  </si>
  <si>
    <t xml:space="preserve">https://www.thenews.com.pk/print/1207841-zia-s-survival-hinged-on-bhutto-s-conviction-sc</t>
  </si>
  <si>
    <t xml:space="preserve">Detailed judgment in response to reference: ‘Due process, fair trial not complied with’ in ZAB murder trial</t>
  </si>
  <si>
    <t xml:space="preserve">Business Recorder</t>
  </si>
  <si>
    <t xml:space="preserve">https://www.brecorder.com/news/40311972/detailed-judgment-in-response-to-reference-due-process-fair-trial-not-complied-with-in-zab-murder-trial</t>
  </si>
  <si>
    <t xml:space="preserve">Innocent Bhutto was sent to the gallows: SC (quotations from the detailed reasons)</t>
  </si>
  <si>
    <t xml:space="preserve">The Nation</t>
  </si>
  <si>
    <t xml:space="preserve">https://www.nation.com.pk/09-Jul-2024/innocent-bhutto-was-sent-to-the-gallows-sc</t>
  </si>
  <si>
    <t xml:space="preserve">Report of a separate note on bench composition and impartiality</t>
  </si>
  <si>
    <t xml:space="preserve">2024-12-18</t>
  </si>
  <si>
    <t xml:space="preserve">https://www.dawn.com/news/1879385/cjp-afridi-sees-threats-to-impartiality-in-bhutto-murder-trial</t>
  </si>
  <si>
    <t xml:space="preserve">Report of a separate note on the approver evidence</t>
  </si>
  <si>
    <t xml:space="preserve">Dunya News</t>
  </si>
  <si>
    <t xml:space="preserve">2026-02-01</t>
  </si>
  <si>
    <t xml:space="preserve">https://dunyanews.tv/en/Pakistan/932891-bhuttos-execution-on-approvers-testimony-was-unlawful-justice-muham</t>
  </si>
  <si>
    <t xml:space="preserve">A leaf from history: Bhutto nabbed (arrest 1977-09-03; charges)</t>
  </si>
  <si>
    <t xml:space="preserve">Dawn (retrospective column)</t>
  </si>
  <si>
    <t xml:space="preserve">2014-05-25</t>
  </si>
  <si>
    <t xml:space="preserve">https://www.dawn.com/news/1108023</t>
  </si>
  <si>
    <t xml:space="preserve">A leaf from history: Bhutto awarded death sentence (trial, bench, sentences, approvers, boycott)</t>
  </si>
  <si>
    <t xml:space="preserve">2014-09-06</t>
  </si>
  <si>
    <t xml:space="preserve">https://www.dawn.com/news/1130029</t>
  </si>
  <si>
    <t xml:space="preserve">A leaf from history: Supreme Court rejects Bhutto’s appeal (1979-02-06; four to three; review petition filed 1979-02-13)</t>
  </si>
  <si>
    <t xml:space="preserve">2014-12-21</t>
  </si>
  <si>
    <t xml:space="preserve">https://www.dawn.com/news/1151780</t>
  </si>
  <si>
    <t xml:space="preserve">A leaf from history: The prime minister is hanged (review dismissed 1979-03-24; execution 1979-04-04)</t>
  </si>
  <si>
    <t xml:space="preserve">2015-02-01</t>
  </si>
  <si>
    <t xml:space="preserve">https://www.dawn.com/news/1160422</t>
  </si>
  <si>
    <t xml:space="preserve">Other (describe; D9)</t>
  </si>
  <si>
    <t xml:space="preserve">Provincial government press release, “CM pays rich tribute to Shaheed Zulfikar Ali Bhutto on his 98th birth anniversary” (date and place of birth)</t>
  </si>
  <si>
    <t xml:space="preserve">Chief Minister’s Office, Government of Sindh</t>
  </si>
  <si>
    <t xml:space="preserve">2026-02-15 (as posted)</t>
  </si>
  <si>
    <t xml:space="preserve">https://cm.sindh.gov.pk/news/cm-pays-rich-tribute-to-shaheed-zulfikar-ali-bhutto-on-his-98th-birth-anniversary</t>
  </si>
  <si>
    <t xml:space="preserve">Constitution of the Islamic Republic of Pakistan, 1973: Articles 4, 9 and 10A (due process and fair trial), 45 (pardon), 186 (advisory jurisdiction), 188 (review), 189 (binding decisions)</t>
  </si>
  <si>
    <t xml:space="preserve">Not read (National Assembly copy: fetch permission not granted)</t>
  </si>
  <si>
    <t xml:space="preserve">Ilechukwu Uchechukwu Chukwudi v Public Prosecutor [2020] SGCA 90 (Criminal Motion No 4 of 2017): review decision</t>
  </si>
  <si>
    <t xml:space="preserve">2020-09-17</t>
  </si>
  <si>
    <t xml:space="preserve">https://www.elitigation.sg/gd/s/2020_SGCA_90 (the text available here ends at [95], before the conclusion and the dissent)</t>
  </si>
  <si>
    <t xml:space="preserve">Ilechukwu Uchechukwu Chukwudi v Public Prosecutor [2017] SGCA 44; [2017] 2 SLR 741: motion allowed in part; questions remitted</t>
  </si>
  <si>
    <t xml:space="preserve">2017-08-02</t>
  </si>
  <si>
    <t xml:space="preserve">https://www.elitigation.sg/gd/s/2017_SGCA_44</t>
  </si>
  <si>
    <t xml:space="preserve">[2019] SGHC 161: findings on the remitted questions (Criminal Case No 32 of 2014; Criminal Motions No 4 of 2017 and No 22 of 2018)</t>
  </si>
  <si>
    <t xml:space="preserve">High Court</t>
  </si>
  <si>
    <t xml:space="preserve">2019 [verify: decision date]</t>
  </si>
  <si>
    <t xml:space="preserve">https://www.elitigation.sg/gd/s/2019_SGHC_161</t>
  </si>
  <si>
    <t xml:space="preserve">Public Prosecutor v Ilechukwu Uchechukwu Chukwudi [2015] SGCA 33 (Criminal Appeal No 10 of 2014): conviction on the prosecution’s appeal</t>
  </si>
  <si>
    <t xml:space="preserve">2015-06-29</t>
  </si>
  <si>
    <t xml:space="preserve">https://www.elitigation.sg/gd/s/2015_SGCA_33</t>
  </si>
  <si>
    <t xml:space="preserve">[2015] SGHC 4: grounds of the acquittal at the joint trial</t>
  </si>
  <si>
    <t xml:space="preserve">2014-11-05 (decision)</t>
  </si>
  <si>
    <t xml:space="preserve">Not read; cited in [2015] SGCA 33 and [2020] SGCA 90</t>
  </si>
  <si>
    <t xml:space="preserve">Report of the acquittal on review, the four-to-one split and his release (TODAY report)</t>
  </si>
  <si>
    <t xml:space="preserve">TODAY, via Malay Mail</t>
  </si>
  <si>
    <t xml:space="preserve">2020-09-18</t>
  </si>
  <si>
    <t xml:space="preserve">https://www.malaymail.com/news/singapore/2020/09/18/singapore-apex-court-acquits-nigerian-man-of-drug-trafficking-in-rare-rever/1904287</t>
  </si>
  <si>
    <t xml:space="preserve">Criminal Procedure Code 2010, ss 394F–394K (review of an appellate court’s earlier decision) and s 359(3) (compensation where a prosecution was frivolous or vexatious)</t>
  </si>
  <si>
    <t xml:space="preserve">Singapore Statutes Online (fetch not permitted from here; not read)</t>
  </si>
  <si>
    <t xml:space="preserve">Bản án hình sự sơ thẩm số 45/HSST / First-instance criminal judgment</t>
  </si>
  <si>
    <t xml:space="preserve">Tòa án nhân dân tỉnh Bắc Giang</t>
  </si>
  <si>
    <t xml:space="preserve">2004-03-26</t>
  </si>
  <si>
    <t xml:space="preserve">Not seen; number and date as reported from the reopening decision (Tiền Phong, 2013-11-26)</t>
  </si>
  <si>
    <t xml:space="preserve">Bản án hình sự phúc thẩm số 1241/PTHS / Appellate criminal judgment</t>
  </si>
  <si>
    <t xml:space="preserve">Tòa phúc thẩm Tòa án nhân dân tối cao tại Hà Nội</t>
  </si>
  <si>
    <t xml:space="preserve">2004-07-27</t>
  </si>
  <si>
    <t xml:space="preserve">Not seen; as above</t>
  </si>
  <si>
    <t xml:space="preserve">Quyết định kháng nghị tái thẩm số 01/QĐKNTT-VKSTC / Reopening protest</t>
  </si>
  <si>
    <t xml:space="preserve">Viện trưởng Viện kiểm sát nhân dân tối cao</t>
  </si>
  <si>
    <t xml:space="preserve">2013-11-04</t>
  </si>
  <si>
    <t xml:space="preserve">Not seen; reported by Thanh Tra and Tiền Phong</t>
  </si>
  <si>
    <t xml:space="preserve">Quyết định tạm đình chỉ thi hành án số 04/QĐTĐC-THA / Suspension of execution of the sentence</t>
  </si>
  <si>
    <t xml:space="preserve">Viện kiểm sát nhân dân tối cao (Deputy Chief Procurator)</t>
  </si>
  <si>
    <t xml:space="preserve">Not seen; reported by the Government news portal, Thanh Tra and Tiền Phong</t>
  </si>
  <si>
    <t xml:space="preserve">Quyết định tái thẩm / Reopening decision</t>
  </si>
  <si>
    <t xml:space="preserve">Hội đồng Thẩm phán Tòa án nhân dân tối cao</t>
  </si>
  <si>
    <t xml:space="preserve">2013-11-06</t>
  </si>
  <si>
    <t xml:space="preserve">Not seen [verify: number]; content reported by Tiền Phong and VietNamNet</t>
  </si>
  <si>
    <t xml:space="preserve">Other (investigation agency decision; D9)</t>
  </si>
  <si>
    <t xml:space="preserve">Quyết định đình chỉ điều tra / Decision terminating the investigation</t>
  </si>
  <si>
    <t xml:space="preserve">Cơ quan Cảnh sát điều tra Bộ Công an</t>
  </si>
  <si>
    <t xml:space="preserve">2014-01-25</t>
  </si>
  <si>
    <t xml:space="preserve">Not seen; reported by Báo Tin tức (2015-04-17) and VietNamNet (2014-01-27)</t>
  </si>
  <si>
    <t xml:space="preserve">Other (statutory apology and correction; D9)</t>
  </si>
  <si>
    <t xml:space="preserve">Văn bản xin lỗi, cải chính công khai / Public apology and correction</t>
  </si>
  <si>
    <t xml:space="preserve">2015-04-17</t>
  </si>
  <si>
    <t xml:space="preserve">Not seen; reported by Báo Tin tức</t>
  </si>
  <si>
    <t xml:space="preserve">Compensation agreement or decision under Law No. 35/2009/QH12</t>
  </si>
  <si>
    <t xml:space="preserve">Tòa án nhân dân tối cao [verify: issuing court]</t>
  </si>
  <si>
    <t xml:space="preserve">2015-05 [verify]</t>
  </si>
  <si>
    <t xml:space="preserve">Not located</t>
  </si>
  <si>
    <t xml:space="preserve">Luật Trách nhiệm bồi thường của Nhà nước, Luật số 35/2009/QH12 / State Compensation Liability Law 2009 (arts. 6, 26, 32, 51 as read)</t>
  </si>
  <si>
    <t xml:space="preserve">Quốc hội (National Assembly)</t>
  </si>
  <si>
    <t xml:space="preserve">2009 [verify: date of adoption; in force 2010-01-01]</t>
  </si>
  <si>
    <t xml:space="preserve">https://chinhphu.vn/default.aspx?pageid=27160&amp;docid=91021</t>
  </si>
  <si>
    <t xml:space="preserve">Other (Government news portal; D9)</t>
  </si>
  <si>
    <t xml:space="preserve">Tạm đình chỉ thi hành án tù chung thân 1 phạm nhân (protest under the reopening procedure; suspension; judgment and detention dates; the other man’s surrender)</t>
  </si>
  <si>
    <t xml:space="preserve">Báo Điện tử Chính phủ</t>
  </si>
  <si>
    <t xml:space="preserve">Trả tự do sau 10 năm ngồi tù để chờ... tái thẩm (detention dates; age; protest and suspension numbers; confession and retraction)</t>
  </si>
  <si>
    <t xml:space="preserve">Tiền Phong</t>
  </si>
  <si>
    <t xml:space="preserve">https://tienphong.vn/Phap-Luat/654701/Tra%CC%89-tu%CC%A3-do-sau-10-nam-ngo%CC%80i-tu%CC%80-de%CC%89-cho%CC%80-ta%CC%81i-tha%CC%89m-tpov.html</t>
  </si>
  <si>
    <t xml:space="preserve">Hủy án sơ thẩm, phúc thẩm đối với ông Nguyễn Thanh Chấn (protest and suspension numbers; hearing)</t>
  </si>
  <si>
    <t xml:space="preserve">Thanh Tra</t>
  </si>
  <si>
    <t xml:space="preserve">https://thanhtra.com.vn/an-ninh-trat-tu-D718A18CA/huy-an-so-tham-phuc-tham-doi-voi-ong-nguyen-thanh-chan-7E0F4A64.html</t>
  </si>
  <si>
    <t xml:space="preserve">Kết luận của Hội đồng tái thẩm về vụ án oan 10 năm (content of the reopening decision)</t>
  </si>
  <si>
    <t xml:space="preserve">2013-11-26</t>
  </si>
  <si>
    <t xml:space="preserve">https://tienphong.vn/Phap-Luat/659143/Ket-luan-cua-Hoi-dong-tai-tham-ve-vu-an-oan-10-nam-tpov.html</t>
  </si>
  <si>
    <t xml:space="preserve">Kết luận của Hội đồng tái thẩm về vụ án oan 10 năm (same content)</t>
  </si>
  <si>
    <t xml:space="preserve">VietNamNet</t>
  </si>
  <si>
    <t xml:space="preserve">2013-11 [verify: day]</t>
  </si>
  <si>
    <t xml:space="preserve">https://vietnamnet.vn/ket-luan-cua-hoi-dong-tai-tham-ve-vu-an-oan-10-nam-151078.html</t>
  </si>
  <si>
    <t xml:space="preserve">Ông Chấn vô tội, người khác không thể vô can (termination of the investigation, 2014-01-25)</t>
  </si>
  <si>
    <t xml:space="preserve">2014-01-27</t>
  </si>
  <si>
    <t xml:space="preserve">https://vietnamnet.vn/ong-chan-vo-toi-nguoi-khac-khong-the-vo-can-159794.html</t>
  </si>
  <si>
    <t xml:space="preserve">Vụ án oan Nguyễn Thanh Chấn: Khởi tố cựu thẩm phán TAND Tối cao (charges of 2014-09-30)</t>
  </si>
  <si>
    <t xml:space="preserve">VOV</t>
  </si>
  <si>
    <t xml:space="preserve">2014-10-01</t>
  </si>
  <si>
    <t xml:space="preserve">https://vov.vn/phap-luat/vu-an-oan-nguyen-thanh-chan-khoi-to-cuu-tham-phan-tand-toi-cao-355113.vov</t>
  </si>
  <si>
    <t xml:space="preserve">TAND tối cao công khai xin lỗi ông Nguyễn Thanh Chấn (apology and correction; termination)</t>
  </si>
  <si>
    <t xml:space="preserve">Báo Tin tức (Vietnam News Agency)</t>
  </si>
  <si>
    <t xml:space="preserve">https://baotintuc.vn/tand-toi-cao-cong-khai-xin-loi-ong-nguyen-thanh-chan-post341193.html</t>
  </si>
  <si>
    <t xml:space="preserve">Người mắc án oan tày trời Nguyễn Thanh Chấn được bồi thường 7,2 tỷ đồng (Chief Justice on the agreed amount)</t>
  </si>
  <si>
    <t xml:space="preserve">VTC News</t>
  </si>
  <si>
    <t xml:space="preserve">2015-06-05</t>
  </si>
  <si>
    <t xml:space="preserve">https://vtcnews.vn/nguoi-mac-an-oan-thau-troi-nguyen-thanh-chan-duoc-boi-thuong-72-ty-dong-ar209196.html</t>
  </si>
  <si>
    <t xml:space="preserve">Hành trình thương lượng tiền bồi thường 7,2 tỷ đồng của ông Chấn (negotiation sessions)</t>
  </si>
  <si>
    <t xml:space="preserve">VnExpress</t>
  </si>
  <si>
    <t xml:space="preserve">2015-06-08</t>
  </si>
  <si>
    <t xml:space="preserve">https://vnexpress.net/hanh-trinh-thuong-luong-tien-boi-thuong-7-2-ty-dong-cua-ong-chan-3230259.html</t>
  </si>
  <si>
    <t xml:space="preserve">Bộ Tài chính cấp 7,2 tỷ đồng bồi thường oan sai cho ông Nguyễn Thanh Chấn (agreement at the end of May 2015; amount claimed)</t>
  </si>
  <si>
    <t xml:space="preserve">2015-10-16</t>
  </si>
  <si>
    <t xml:space="preserve">https://vnexpress.net/bo-tai-chinh-cap-7-2-ty-dong-boi-thuong-oan-sai-cho-ong-nguyen-thanh-chan-3296806.html</t>
  </si>
  <si>
    <t xml:space="preserve">Ông Nguyễn Thanh Chấn đã nhận hơn 7,2 tỷ bồi thường oan sai (payment)</t>
  </si>
  <si>
    <t xml:space="preserve">https://vietnamnet.vn/ong-nguyen-thanh-chan-da-nhan-hon-72-ty-boi-thuong-oan-sai-267937.html</t>
  </si>
  <si>
    <t xml:space="preserve">Hai cựu cán bộ gây oan sai cho ông Nguyễn Thanh Chấn không nhận tội (officials’ trial; charge)</t>
  </si>
  <si>
    <t xml:space="preserve">Báo Pháp luật Việt Nam</t>
  </si>
  <si>
    <t xml:space="preserve">2017-01-19</t>
  </si>
  <si>
    <t xml:space="preserve">https://baophapluat.vn/hai-cuu-can-bo-gay-oan-sai-cho-ong-nguyen-thanh-chan-khong-nhan-toi-post237421.html</t>
  </si>
  <si>
    <t xml:space="preserve">Điều tra viên, kiểm sát viên nói không biết ông Chấn oan thế nào (indictment allegations; his testimony)</t>
  </si>
  <si>
    <t xml:space="preserve">Tuổi Trẻ</t>
  </si>
  <si>
    <t xml:space="preserve">https://tuoitre.vn/dieu-tra-vien-kiem-sat-vien-noi-khong-biet-ong-chan-oan-the-nao-1254805.htm</t>
  </si>
  <si>
    <t xml:space="preserve">Hai cựu cán bộ làm oan ông Chấn xin giảm án tù (first-instance verdict; appeals)</t>
  </si>
  <si>
    <t xml:space="preserve">2017-02 [verify: day]</t>
  </si>
  <si>
    <t xml:space="preserve">https://vnexpress.net/hai-cuu-can-bo-lam-oan-ong-chan-xin-giam-an-tu-3539215.html</t>
  </si>
  <si>
    <t xml:space="preserve">Kẻ giết người trong án oan Nguyễn Thanh Chấn lại hầu tòa (conviction of the man who confessed; appeal hearing)</t>
  </si>
  <si>
    <t xml:space="preserve">2017-03-07</t>
  </si>
  <si>
    <t xml:space="preserve">https://baophapluat.vn/ke-giet-nguoi-trong-an-oan-nguyen-thanh-chan-lai-hau-toa-post240825.html</t>
  </si>
  <si>
    <t xml:space="preserve">Hình ảnh: Nhìn lại vụ án oan Nguyễn Thanh Chấn (sentences of 2015 and 2017)</t>
  </si>
  <si>
    <t xml:space="preserve">2017-03-08</t>
  </si>
  <si>
    <t xml:space="preserve">https://vov.vn/tin-nong/hinh-anh-nhin-lai-vu-an-oan-nguyen-thanh-chan-600562.vov</t>
  </si>
  <si>
    <t xml:space="preserve">Country / Region</t>
  </si>
  <si>
    <t xml:space="preserve">Legal System Family</t>
  </si>
  <si>
    <t xml:space="preserve">Procedural System Type</t>
  </si>
  <si>
    <t xml:space="preserve">Classification Source</t>
  </si>
  <si>
    <t xml:space="preserve">Finality Rules Summary</t>
  </si>
  <si>
    <t xml:space="preserve">Post-Conviction Routes Summary</t>
  </si>
  <si>
    <r>
      <rPr>
        <sz val="10"/>
        <rFont val="Arial"/>
        <family val="0"/>
        <charset val="1"/>
      </rPr>
      <t xml:space="preserve">China — Hebei Province (</t>
    </r>
    <r>
      <rPr>
        <sz val="10"/>
        <rFont val="WenQuanYi Zen Hei"/>
        <family val="2"/>
      </rPr>
      <t xml:space="preserve">中国河北省</t>
    </r>
    <r>
      <rPr>
        <sz val="10"/>
        <rFont val="Arial"/>
        <family val="0"/>
        <charset val="1"/>
      </rPr>
      <t xml:space="preserve">)</t>
    </r>
  </si>
  <si>
    <r>
      <rPr>
        <sz val="10"/>
        <rFont val="Arial"/>
        <family val="0"/>
        <charset val="1"/>
      </rPr>
      <t xml:space="preserve">Civil law (continental) (</t>
    </r>
    <r>
      <rPr>
        <sz val="10"/>
        <rFont val="WenQuanYi Zen Hei"/>
        <family val="2"/>
      </rPr>
      <t xml:space="preserve">大陆法系</t>
    </r>
    <r>
      <rPr>
        <sz val="10"/>
        <rFont val="Arial"/>
        <family val="0"/>
        <charset val="1"/>
      </rPr>
      <t xml:space="preserve">) [contributor-provided]</t>
    </r>
  </si>
  <si>
    <t xml:space="preserve">Inquisitorial with limited adversarial elements [contributor-provided]</t>
  </si>
  <si>
    <r>
      <rPr>
        <sz val="10"/>
        <rFont val="Arial"/>
        <family val="0"/>
        <charset val="1"/>
      </rPr>
      <t xml:space="preserve">Two-instance final-judgment system (</t>
    </r>
    <r>
      <rPr>
        <sz val="10"/>
        <rFont val="WenQuanYi Zen Hei"/>
        <family val="2"/>
      </rPr>
      <t xml:space="preserve">两审终审制</t>
    </r>
    <r>
      <rPr>
        <sz val="10"/>
        <rFont val="Arial"/>
        <family val="0"/>
        <charset val="1"/>
      </rPr>
      <t xml:space="preserve">): a conviction becomes legally effective upon issuance of the second-instance judgment, or upon expiry of the appeal period where no appeal is filed.</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</si>
  <si>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 initiated by petition, court, or procuratorate protest; state compensation under the State Compensation Law (</t>
    </r>
    <r>
      <rPr>
        <sz val="10"/>
        <rFont val="WenQuanYi Zen Hei"/>
        <family val="2"/>
      </rPr>
      <t xml:space="preserve">国家赔偿法</t>
    </r>
    <r>
      <rPr>
        <sz val="10"/>
        <rFont val="Arial"/>
        <family val="0"/>
        <charset val="1"/>
      </rPr>
      <t xml:space="preserve">).</t>
    </r>
  </si>
  <si>
    <t xml:space="preserve">[Co-developer to provide]</t>
  </si>
  <si>
    <t xml:space="preserve">[To be recorded when a co-developer confirms the classification]</t>
  </si>
  <si>
    <r>
      <rPr>
        <sz val="10"/>
        <rFont val="Arial"/>
        <family val="0"/>
        <charset val="1"/>
      </rPr>
      <t xml:space="preserve">Draft: a judgment becomes final (</t>
    </r>
    <r>
      <rPr>
        <sz val="10"/>
        <rFont val="WenQuanYi Zen Hei"/>
        <family val="2"/>
      </rPr>
      <t xml:space="preserve">確定</t>
    </r>
    <r>
      <rPr>
        <sz val="10"/>
        <rFont val="Arial"/>
        <family val="0"/>
        <charset val="1"/>
      </rPr>
      <t xml:space="preserve">) when the 14-day period for appeal lapses without appeal [verify: arts. 373, 414], or, after a Supreme Court judgment, when the period for a motion to correct it lapses or the motion is dismissed (Hakamada: Supreme Court judgment 1980-11-19, final 1980-12-12).</t>
    </r>
  </si>
  <si>
    <r>
      <rPr>
        <sz val="10"/>
        <rFont val="Arial"/>
        <family val="0"/>
        <charset val="1"/>
      </rPr>
      <t xml:space="preserve">Draft: retrial (</t>
    </r>
    <r>
      <rPr>
        <sz val="10"/>
        <rFont val="WenQuanYi Zen Hei"/>
        <family val="2"/>
      </rPr>
      <t xml:space="preserve">再審</t>
    </r>
    <r>
      <rPr>
        <sz val="10"/>
        <rFont val="Arial"/>
        <family val="0"/>
        <charset val="1"/>
      </rPr>
      <t xml:space="preserve">) of a final conviction (Code of Criminal Procedure, arts. 435–453), in two stages: a decision to commence retrial (</t>
    </r>
    <r>
      <rPr>
        <sz val="10"/>
        <rFont val="WenQuanYi Zen Hei"/>
        <family val="2"/>
      </rPr>
      <t xml:space="preserve">再審開始決定</t>
    </r>
    <r>
      <rPr>
        <sz val="10"/>
        <rFont val="Arial"/>
        <family val="0"/>
        <charset val="1"/>
      </rPr>
      <t xml:space="preserve">), then the retrial itself. Amended by Act No. 67 of 2026 (enacted 2026-07-17, promulgated 2026-07-24). From 2026-08-13 a prosecutor may appeal a retrial-commencement decision only where there are sufficient grounds (art. 450-2), within 14 days (art. 450-3). A second stage, in force on a date set by cabinet order within a year, lets courts order prosecutors to disclose evidence (art. 445-2 onwards) and excludes judges who took part in the original judgment (art. 438-2); requests filed before then stay under the old rules. Criminal compensation (</t>
    </r>
    <r>
      <rPr>
        <sz val="10"/>
        <rFont val="WenQuanYi Zen Hei"/>
        <family val="2"/>
      </rPr>
      <t xml:space="preserve">刑事補償法</t>
    </r>
    <r>
      <rPr>
        <sz val="10"/>
        <rFont val="Arial"/>
        <family val="0"/>
        <charset val="1"/>
      </rPr>
      <t xml:space="preserve">) follows an acquittal, up to JPY 12,500 a day [verify: art. 4]; state-liability claims (</t>
    </r>
    <r>
      <rPr>
        <sz val="10"/>
        <rFont val="WenQuanYi Zen Hei"/>
        <family val="2"/>
      </rPr>
      <t xml:space="preserve">国家賠償法</t>
    </r>
    <r>
      <rPr>
        <sz val="10"/>
        <rFont val="Arial"/>
        <family val="0"/>
        <charset val="1"/>
      </rPr>
      <t xml:space="preserve">) are separate civil proceedings.</t>
    </r>
  </si>
  <si>
    <r>
      <rPr>
        <sz val="10"/>
        <rFont val="Arial"/>
        <family val="0"/>
        <charset val="1"/>
      </rPr>
      <t xml:space="preserve">Draft: a judgment becomes final (</t>
    </r>
    <r>
      <rPr>
        <sz val="10"/>
        <rFont val="WenQuanYi Zen Hei"/>
        <family val="2"/>
      </rPr>
      <t xml:space="preserve">確定</t>
    </r>
    <r>
      <rPr>
        <sz val="10"/>
        <rFont val="Arial"/>
        <family val="0"/>
        <charset val="1"/>
      </rPr>
      <t xml:space="preserve">) when the appeal period lapses or on the Supreme Court’s judgment. Peacetime cases of serving military personnel were tried by military courts until an amendment of the Military Trial Act, passed on 2013-08-06, moved them to civilian courts in two stages (D7) [verify: promulgation and effective dates]; after J.Y. Interpretation No. 436 (1997) and the 1999 revision, some military judgments could be reviewed by civilian courts [verify: scope].</t>
    </r>
  </si>
  <si>
    <r>
      <rPr>
        <sz val="10"/>
        <rFont val="Arial"/>
        <family val="0"/>
        <charset val="1"/>
      </rPr>
      <t xml:space="preserve">Draft: retrial (</t>
    </r>
    <r>
      <rPr>
        <sz val="10"/>
        <rFont val="WenQuanYi Zen Hei"/>
        <family val="2"/>
      </rPr>
      <t xml:space="preserve">再審</t>
    </r>
    <r>
      <rPr>
        <sz val="10"/>
        <rFont val="Arial"/>
        <family val="0"/>
        <charset val="1"/>
      </rPr>
      <t xml:space="preserve">) and extraordinary appeal (</t>
    </r>
    <r>
      <rPr>
        <sz val="10"/>
        <rFont val="WenQuanYi Zen Hei"/>
        <family val="2"/>
      </rPr>
      <t xml:space="preserve">非常上訴</t>
    </r>
    <r>
      <rPr>
        <sz val="10"/>
        <rFont val="Arial"/>
        <family val="0"/>
        <charset val="1"/>
      </rPr>
      <t xml:space="preserve">, brought by the Prosecutor-General) against final judgments, with parallel provisions for military courts. Criminal compensation under the Criminal Compensation Act (</t>
    </r>
    <r>
      <rPr>
        <sz val="10"/>
        <rFont val="WenQuanYi Zen Hei"/>
        <family val="2"/>
      </rPr>
      <t xml:space="preserve">刑事補償法</t>
    </r>
    <r>
      <rPr>
        <sz val="10"/>
        <rFont val="Arial"/>
        <family val="0"/>
        <charset val="1"/>
      </rPr>
      <t xml:space="preserve">), formerly the Wrongful Imprisonment Compensation Act (</t>
    </r>
    <r>
      <rPr>
        <sz val="10"/>
        <rFont val="WenQuanYi Zen Hei"/>
        <family val="2"/>
      </rPr>
      <t xml:space="preserve">冤獄賠償法</t>
    </r>
    <r>
      <rPr>
        <sz val="10"/>
        <rFont val="Arial"/>
        <family val="0"/>
        <charset val="1"/>
      </rPr>
      <t xml:space="preserve">), renamed by an amendment promulgated on 2011-07-06 and in force from 2011-09-01. The Control Yuan can investigate and censure (</t>
    </r>
    <r>
      <rPr>
        <sz val="10"/>
        <rFont val="WenQuanYi Zen Hei"/>
        <family val="2"/>
      </rPr>
      <t xml:space="preserve">糾正</t>
    </r>
    <r>
      <rPr>
        <sz val="10"/>
        <rFont val="Arial"/>
        <family val="0"/>
        <charset val="1"/>
      </rPr>
      <t xml:space="preserve">) agencies over the handling of a case.</t>
    </r>
  </si>
  <si>
    <t xml:space="preserve">Draft: a judgment becomes final (berkekuatan hukum tetap) when the ordinary remedies of appeal (banding) and cassation (kasasi) are exhausted or lapse. [verify]</t>
  </si>
  <si>
    <t xml:space="preserve">Draft: review (peninjauan kembali, PK) of a final conviction by the Supreme Court, first regulated by PERMA No. 1 of 1980 and then by KUHAP (UU No. 8 Tahun 1981), Pasal 263 onwards. UU No. 8/1981 was replaced from 2 January 2026 by UU No. 20 Tahun 2025 [verify: its PK provisions].</t>
  </si>
  <si>
    <t xml:space="preserve">Republic of Korea</t>
  </si>
  <si>
    <r>
      <rPr>
        <sz val="10"/>
        <rFont val="Arial"/>
        <family val="0"/>
        <charset val="1"/>
      </rPr>
      <t xml:space="preserve">Draft: a judgment becomes final (</t>
    </r>
    <r>
      <rPr>
        <sz val="10"/>
        <rFont val="WenQuanYi Zen Hei"/>
        <family val="2"/>
      </rPr>
      <t xml:space="preserve">확정</t>
    </r>
    <r>
      <rPr>
        <sz val="10"/>
        <rFont val="Arial"/>
        <family val="0"/>
        <charset val="1"/>
      </rPr>
      <t xml:space="preserve">) when the seven-day period for appeal lapses without appeal, when appeal is waived or withdrawn, or on the Supreme Court’s judgment [verify: arts. 358, 374].</t>
    </r>
  </si>
  <si>
    <r>
      <rPr>
        <sz val="10"/>
        <rFont val="Arial"/>
        <family val="0"/>
        <charset val="1"/>
      </rPr>
      <t xml:space="preserve">Draft: retrial (</t>
    </r>
    <r>
      <rPr>
        <sz val="10"/>
        <rFont val="WenQuanYi Zen Hei"/>
        <family val="2"/>
      </rPr>
      <t xml:space="preserve">재심</t>
    </r>
    <r>
      <rPr>
        <sz val="10"/>
        <rFont val="Arial"/>
        <family val="0"/>
        <charset val="1"/>
      </rPr>
      <t xml:space="preserve">) of a final conviction (Criminal Procedure Act, arts. 420–440 [verify]), in two stages: a decision to commence retrial, then the retrial itself; where an official’s crime cannot be proved by a final judgment, for example because the limitation period has expired, it may be proved by other means (art. 422 [verify]). Extraordinary appeal (</t>
    </r>
    <r>
      <rPr>
        <sz val="10"/>
        <rFont val="WenQuanYi Zen Hei"/>
        <family val="2"/>
      </rPr>
      <t xml:space="preserve">비상상고</t>
    </r>
    <r>
      <rPr>
        <sz val="10"/>
        <rFont val="Arial"/>
        <family val="0"/>
        <charset val="1"/>
      </rPr>
      <t xml:space="preserve">) by the Prosecutor General (arts. 441–447 [verify]). Criminal compensation (</t>
    </r>
    <r>
      <rPr>
        <sz val="10"/>
        <rFont val="WenQuanYi Zen Hei"/>
        <family val="2"/>
      </rPr>
      <t xml:space="preserve">형사보상</t>
    </r>
    <r>
      <rPr>
        <sz val="10"/>
        <rFont val="Arial"/>
        <family val="0"/>
        <charset val="1"/>
      </rPr>
      <t xml:space="preserve">) under the Criminal Compensation and Restoration of Honor Act (</t>
    </r>
    <r>
      <rPr>
        <sz val="10"/>
        <rFont val="WenQuanYi Zen Hei"/>
        <family val="2"/>
      </rPr>
      <t xml:space="preserve">형사보상 및 명예회복에 관한 법률</t>
    </r>
    <r>
      <rPr>
        <sz val="10"/>
        <rFont val="Arial"/>
        <family val="0"/>
        <charset val="1"/>
      </rPr>
      <t xml:space="preserve">) follows an acquittal: the daily amount runs from the daily minimum wage up to a cap set by decree (art. 5(1)), which in 2020 was five times the daily minimum wage (KRW 343,600). State-damages claims (</t>
    </r>
    <r>
      <rPr>
        <sz val="10"/>
        <rFont val="WenQuanYi Zen Hei"/>
        <family val="2"/>
      </rPr>
      <t xml:space="preserve">국가배상</t>
    </r>
    <r>
      <rPr>
        <sz val="10"/>
        <rFont val="Arial"/>
        <family val="0"/>
        <charset val="1"/>
      </rPr>
      <t xml:space="preserve">) are separate civil proceedings.</t>
    </r>
  </si>
  <si>
    <t xml:space="preserve">Hong Kong Special Administrative Region, China</t>
  </si>
  <si>
    <t xml:space="preserve">Draft: a conviction on indictment becomes final when the Court of Appeal dismisses the appeal or the time for seeking leave to appeal lapses, and after any application for leave to appeal to the Court of Final Appeal is refused or decided. Leave to appeal out of time can be granted (D11). [verify: time limits]</t>
  </si>
  <si>
    <t xml:space="preserve">Draft: referral of a case to the Court of Appeal by the Chief Executive, with or without the convicted person’s application (Criminal Procedure Ordinance, Cap. 221, s. 83P); appeal allowed out of time; pardon by the Chief Executive (Basic Law, art. 48(12)). Compensation: article 11(5) of the Hong Kong Bill of Rights (Cap. 383), which mirrors ICCPR art. 14(6), and an ex gratia scheme whose guidelines cover convictions quashed after a Chief Executive referral or on an appeal out of time (4(a)) and custody resulting from serious default by the police or another public authority (4(b)), and allow refusal where there is serious doubt about innocence (4(e)).</t>
  </si>
  <si>
    <t xml:space="preserve">Draft: a death sentence passed by a Court of Session must be confirmed by the High Court (Code of Criminal Procedure, 1973, ss. 366–371, the procedure behind “Confirmation Case No. 2 of 2006” here; now the Bharatiya Nagarik Suraksha Sanhita, 2023 [verify: sections]). A conviction is final when the last available appeal is decided — in the High Court, or in the Supreme Court on appeal under Article 134 or by special leave under Article 136 of the Constitution — or when the time to appeal expires [verify: limitation periods].</t>
  </si>
  <si>
    <t xml:space="preserve">Draft: review of a Supreme Court judgment (Article 137 of the Constitution; Supreme Court Rules, 2013, Order XLVII [verify]), heard in open court in death-sentence cases after Mohd. Arif v. Registrar, Supreme Court of India (2014) [verify: citation]; curative petition (Rupa Ashok Hurra v. Ashok Hurra, 2002) [verify]; pardon, reprieve or commutation by the President (Article 72) or a Governor (Article 161). Compensation: no statutory scheme for wrongful conviction [verify]; courts award public-law compensation for breaches of Article 21 (for example Rudul Sah v. State of Bihar, 1983) [verify], as the Supreme Court did here within the acquittal judgment; the Law Commission’s Report No. 277 (2018) recommended a statutory scheme [verify]. The Indian Penal Code and the Code of Criminal Procedure were replaced on 2024-07-01 by the Bharatiya Nyaya Sanhita and the Bharatiya Nagarik Suraksha Sanhita, 2023 [verify].</t>
  </si>
  <si>
    <t xml:space="preserve">Draft: A District Court judgment in a serious-crime case (תפ״ח) is appealable to the Supreme Court; the Supreme Court’s judgment on appeal completes the ordinary appeals. The appeal period appears to be 45 days: the state’s decision not to appeal the 2023 acquittal came on the 45th day (computed) [verify: Criminal Procedure Law [Consolidated Version], 5742-1982 (חוק סדר הדין הפלילי [נוסח משולב], התשמ״ב-1982), s. 199]. A further hearing (דיון נוסף) before an expanded panel of the Supreme Court may be requested and is granted at the court’s discretion [verify: Courts Law, s. 30]; the rejection in this case was described as applying the principle of finality of proceedings (סופיות הדיון) (Walla, 2016-07-07) [verify: whether a pending request affects finality].</t>
  </si>
  <si>
    <t xml:space="preserve">Draft: (1) retrial (משפט חוזר), ordered by the President of the Supreme Court or a justice designated for the purpose under s. 31 of the Courts Law [Consolidated Version], 5744-1984 (חוק בתי המשפט [נוסח משולב], התשמ״ד-1984) [verify: grounds in s. 31(a): false or forged evidence, new facts or evidence, conviction of another person, real concern of a miscarriage of justice (עיוות דין)]; the retrial is heard by the trial court, here before a new panel in the original file; (2) further hearing (דיון נוסף) in the Supreme Court [verify: Courts Law, s. 30]; (3) pardon or commutation by the President of the State [verify: Basic Law: The President of the State, s. 11(b)]. Compensation: compensation for detention or imprisonment and defence costs after an acquittal [verify: Penal Law, 5737-1977, s. 80: grounds and caps]; a civil damages claim against the state (settled in this case in 2025).</t>
  </si>
  <si>
    <t xml:space="preserve">Draft: A Supreme Court judgment on a criminal appeal is final, subject to review by the Supreme Court itself [verify: Constitution Art. 188 and the Supreme Court Rules; not read]. In the Bhutto reference the court stated that the conviction “attain[ed] finality after the dismissal of the review petition” (short opinion of 2024-03-06, as reported by Geo). In 1977–78 the murder trial was held in the Lahore High Court rather than a Court of Session, and the appeal lay to the Supreme Court (Dawn) [verify: statutory basis for the transfer and for the appeal].</t>
  </si>
  <si>
    <t xml:space="preserve">Draft: (1) review by the Supreme Court of its own judgment (Constitution Art. 188 [verify: not read]); (2) pardon, reprieve or commutation by the President (Art. 45 [verify: not read]); (3) an advisory opinion on a presidential reference on a question of law of public importance (Art. 186 [verify: text not read]): in the Bhutto reference the court held that in this jurisdiction it “cannot reappraise the evidence and undo the decision of the case”, and that the Constitution and the law provide no mechanism to set aside the final judgment (2024 short opinion, as reported by Geo and Dawn). [verify: Any statutory route to reopen a final conviction on new evidence]. Compensation: no statutory scheme for wrongful conviction is known [verify: confirm]. The Constitution and the superior courts use English.</t>
  </si>
  <si>
    <t xml:space="preserve">Draft: The Court of Appeal is the final appellate court; a conviction it enters or upholds on appeal is final, and a later application to it is treated as one to reopen a concluded criminal appeal ([2017] SGCA 44; [2020] SGCA 90). A High Court judgment that is not appealed becomes final when the appeal period expires [verify: statute, section and appeal period].</t>
  </si>
  <si>
    <t xml:space="preserve">Draft: (1) reopening of a concluded criminal appeal by the Court of Appeal under its inherent power, on new and compelling material showing a powerful probability that the earlier decision was wrong (Kho Jabing v Public Prosecutor [2016] 3 SLR 135; applied in Ilechukwu, 2017 and 2020); (2) an application for review of an earlier decision of an appellate court under the Criminal Procedure Code 2010, ss 394F–394K [verify: text and commencement; said to date from 2018]; (3) presidential clemency [verify: constitutional provision]. Compensation: no statutory compensation scheme for wrongful conviction is known [verify: confirm]; a court may order compensation to an acquitted accused where the prosecution was frivolous or vexatious (CPC s 359(3)) [verify: text and cap].</t>
  </si>
  <si>
    <t xml:space="preserve">Vietnam (Socialist Republic of Viet Nam)</t>
  </si>
  <si>
    <t xml:space="preserve">Draft: two-tier trial system. A first-instance judgment becomes final if no appeal or protest is lodged within the time limit; an appellate judgment takes legal effect on pronouncement (Criminal Procedure Code 2003, applicable in this case [verify: articles]; now Criminal Procedure Code 2015, Law No. 101/2015/QH13 [verify: articles]).</t>
  </si>
  <si>
    <t xml:space="preserve">Draft: final judgments can be reviewed only on a protest (kháng nghị) by a chief justice or chief procurator of the competent level: cassation (giám đốc thẩm) for serious legal or procedural error, and reopening (tái thẩm) for newly discovered circumstances that could fundamentally change the judgment [verify: articles of the 2003 and 2015 Codes]. The review body may uphold the judgment, annul it for re-investigation or retrial, or annul it and terminate the case (Criminal Procedure Code 2003, art. 298, as cited in ARWC-VNM-001). Compensation and restoration of honour (public apology and correction, xin lỗi, cải chính công khai): State Compensation Liability Law, Law No. 35/2009/QH12 (criminal proceedings, art. 26), replaced by Law No. 10/2017/QH14 [verify: in force 2018-07-01].</t>
  </si>
  <si>
    <t xml:space="preserve">Source</t>
  </si>
  <si>
    <t xml:space="preserve">What it holds</t>
  </si>
  <si>
    <t xml:space="preserve">URL</t>
  </si>
  <si>
    <t xml:space="preserve">Status in this inventory</t>
  </si>
  <si>
    <t xml:space="preserve">China Wrongful Convictions Case Archive (USALI, NYU)</t>
  </si>
  <si>
    <t xml:space="preserve">English-language case pages; more than 170 overturned convictions since 1979, on appeal or retrial</t>
  </si>
  <si>
    <t xml:space="preserve">https://usali.org/china-wrongful-convictions-case-archive</t>
  </si>
  <si>
    <t xml:space="preserve">About 30 case pages found by search; full index not reachable from the build environment. Archive also includes cases corrected on ordinary appeal, which ARWC excludes</t>
  </si>
  <si>
    <t xml:space="preserve">Taiwan Innocence Project: Database of Criminal Retrial-Acquittals, 1991-2026</t>
  </si>
  <si>
    <t xml:space="preserve">308 retrial-based acquittals since 1991 (framework paper)</t>
  </si>
  <si>
    <t xml:space="preserve">https://twinnocenceproject.org/database/</t>
  </si>
  <si>
    <t xml:space="preserve">Not reachable from the build environment; nine well-known cases listed from other sources. Ask TIP (Ko) for an export</t>
  </si>
  <si>
    <t xml:space="preserve">Innocence Project Japan</t>
  </si>
  <si>
    <t xml:space="preserve">Case work and commentary</t>
  </si>
  <si>
    <t xml:space="preserve">https://innocenceprojectjapan.org/en/home-2</t>
  </si>
  <si>
    <t xml:space="preserve">Not reachable from the build environment; cases listed from public reporting. Nishi's data cover retrial acquittals</t>
  </si>
  <si>
    <t xml:space="preserve">Japan Federation of Bar Associations (JFBA) retrial support cases</t>
  </si>
  <si>
    <t xml:space="preserve">Bar-supported retrial cases</t>
  </si>
  <si>
    <t xml:space="preserve">https://www.nichibenren.or.jp/</t>
  </si>
  <si>
    <t xml:space="preserve">Not yet mined</t>
  </si>
  <si>
    <t xml:space="preserve">Korea Truth and Reconciliation Commission; court retrial records</t>
  </si>
  <si>
    <t xml:space="preserve">Commission-recommended retrials, many political-era cases</t>
  </si>
  <si>
    <t xml:space="preserve">Only a few listed; likely dozens more</t>
  </si>
  <si>
    <t xml:space="preserve">Taiwan Alliance to End the Death Penalty / Talking Taiwan list</t>
  </si>
  <si>
    <t xml:space="preserve">Death-row exonerations</t>
  </si>
  <si>
    <t xml:space="preserve">Used for three cases</t>
  </si>
  <si>
    <t xml:space="preserve">Le et al. (2024) systematic review</t>
  </si>
  <si>
    <t xml:space="preserve">Asia</t>
  </si>
  <si>
    <t xml:space="preserve">Cases discussed in the literature across Asian countries</t>
  </si>
  <si>
    <r>
      <rPr>
        <b val="true"/>
        <sz val="13"/>
        <rFont val="Arial"/>
        <family val="0"/>
        <charset val="1"/>
      </rPr>
      <t xml:space="preserve">ARWC-CHN-001 · Nie Shubin </t>
    </r>
    <r>
      <rPr>
        <b val="true"/>
        <sz val="13"/>
        <rFont val="WenQuanYi Zen Hei"/>
        <family val="2"/>
      </rPr>
      <t xml:space="preserve">聂树斌</t>
    </r>
  </si>
  <si>
    <t xml:space="preserve">Coded in: Supplement B (paper). Source: ARWC coded sets of 1 October 2026 (first and second sets) or Supplement B of the accepted manuscript. Items marked [verify] are still to confirm.</t>
  </si>
  <si>
    <t xml:space="preserve">Linked jurisdiction record</t>
  </si>
  <si>
    <t xml:space="preserve">A. Case Identification</t>
  </si>
  <si>
    <t xml:space="preserve">C. Offense, Sentence, and Victim-Related Fields</t>
  </si>
  <si>
    <t xml:space="preserve">E. Official Post-Conviction Action</t>
  </si>
  <si>
    <t xml:space="preserve">Judicial Reversal (A)</t>
  </si>
  <si>
    <t xml:space="preserve">☒ Marked</t>
  </si>
  <si>
    <t xml:space="preserve">Formal Acknowledgment of Error (B)</t>
  </si>
  <si>
    <t xml:space="preserve">Innocence-Related Relief (C)</t>
  </si>
  <si>
    <t xml:space="preserve">☐ Not marked</t>
  </si>
  <si>
    <t xml:space="preserve">Official Actions List</t>
  </si>
  <si>
    <t xml:space="preserve">Field</t>
  </si>
  <si>
    <t xml:space="preserve">Action 1</t>
  </si>
  <si>
    <t xml:space="preserve">Action 2</t>
  </si>
  <si>
    <t xml:space="preserve">Compensation</t>
  </si>
  <si>
    <t xml:space="preserve">Compensation Awarded</t>
  </si>
  <si>
    <t xml:space="preserve">Amount / Currency / Year</t>
  </si>
  <si>
    <t xml:space="preserve">Decision Acknowledges Wrongful Conviction</t>
  </si>
  <si>
    <t xml:space="preserve">F. Case Summary</t>
  </si>
  <si>
    <t xml:space="preserve">G. Contributing Factors</t>
  </si>
  <si>
    <t xml:space="preserve">Factor</t>
  </si>
  <si>
    <t xml:space="preserve">Factual note (documentary basis)</t>
  </si>
  <si>
    <t xml:space="preserve">Marked</t>
  </si>
  <si>
    <t xml:space="preserve">1. False or coerced confession</t>
  </si>
  <si>
    <t xml:space="preserve">☒</t>
  </si>
  <si>
    <t xml:space="preserve">1a. Torture or physical coercion</t>
  </si>
  <si>
    <t xml:space="preserve">1b. Prolonged detention or questioning without counsel</t>
  </si>
  <si>
    <t xml:space="preserve">1c. Deception, inducement, or threats</t>
  </si>
  <si>
    <t xml:space="preserve">☐</t>
  </si>
  <si>
    <t xml:space="preserve">2. Eyewitness misidentification</t>
  </si>
  <si>
    <t xml:space="preserve">2a. Suggestive identification procedure</t>
  </si>
  <si>
    <t xml:space="preserve">2b. Identification treated as decisive despite inconsistency or weak conditions</t>
  </si>
  <si>
    <t xml:space="preserve">3. Forensic or evidentiary error</t>
  </si>
  <si>
    <t xml:space="preserve">4. Investigative or prosecutorial misconduct</t>
  </si>
  <si>
    <t xml:space="preserve">4a. Suppression of exculpatory evidence</t>
  </si>
  <si>
    <t xml:space="preserve">4b. Failure to act on exculpatory developments</t>
  </si>
  <si>
    <t xml:space="preserve">4c. Fabrication of evidence</t>
  </si>
  <si>
    <t xml:space="preserve">5. Inadequate defense</t>
  </si>
  <si>
    <t xml:space="preserve">6. Perjury or false accusation (including informant testimony)</t>
  </si>
  <si>
    <t xml:space="preserve">7. Systemic or structural issue (specify)</t>
  </si>
  <si>
    <t xml:space="preserve">8. Other contributing factor (specify)</t>
  </si>
  <si>
    <t xml:space="preserve">H. Key Triggers of Official Action</t>
  </si>
  <si>
    <t xml:space="preserve">Trigger (controlled vocabulary)</t>
  </si>
  <si>
    <t xml:space="preserve">Note</t>
  </si>
  <si>
    <t xml:space="preserve">Real perpetrator identified</t>
  </si>
  <si>
    <t xml:space="preserve">Confession by another person</t>
  </si>
  <si>
    <t xml:space="preserve">New or re-examined forensic evidence</t>
  </si>
  <si>
    <t xml:space="preserve">Recantation of testimony</t>
  </si>
  <si>
    <t xml:space="preserve">Newly disclosed or discovered evidence</t>
  </si>
  <si>
    <t xml:space="preserve">Sustained petitioning or family advocacy</t>
  </si>
  <si>
    <t xml:space="preserve">Involvement of an innocence organization or counsel</t>
  </si>
  <si>
    <t xml:space="preserve">Media or public attention</t>
  </si>
  <si>
    <t xml:space="preserve">Official review initiative</t>
  </si>
  <si>
    <t xml:space="preserve">Other (specify)</t>
  </si>
  <si>
    <t xml:space="preserve">I. Inclusion Verification (published in simplified form)</t>
  </si>
  <si>
    <t xml:space="preserve">Criterion</t>
  </si>
  <si>
    <t xml:space="preserve">Basis</t>
  </si>
  <si>
    <t xml:space="preserve">Criminal offence</t>
  </si>
  <si>
    <t xml:space="preserve">Finality</t>
  </si>
  <si>
    <t xml:space="preserve">Official post-conviction action</t>
  </si>
  <si>
    <t xml:space="preserve">Documentation</t>
  </si>
  <si>
    <t xml:space="preserve">Inclusion determination</t>
  </si>
  <si>
    <t xml:space="preserve">Codebook version at coding</t>
  </si>
  <si>
    <t xml:space="preserve">J. Supporting Documentation and Sources</t>
  </si>
  <si>
    <r>
      <rPr>
        <b val="true"/>
        <sz val="13"/>
        <rFont val="Arial"/>
        <family val="0"/>
        <charset val="1"/>
      </rPr>
      <t xml:space="preserve">ARWC-JPN-001 · Hakamada Iwao </t>
    </r>
    <r>
      <rPr>
        <b val="true"/>
        <sz val="13"/>
        <rFont val="WenQuanYi Zen Hei"/>
        <family val="2"/>
      </rPr>
      <t xml:space="preserve">袴田巌</t>
    </r>
  </si>
  <si>
    <t xml:space="preserve">Coded in: First set. Source: ARWC coded sets of 1 October 2026 (first and second sets) or Supplement B of the accepted manuscript. Items marked [verify] are still to confirm.</t>
  </si>
  <si>
    <t xml:space="preserve">☐ Not marked (D1, D2)</t>
  </si>
  <si>
    <t xml:space="preserve">1a. Torture or physical coercion (cross-coded to 4)</t>
  </si>
  <si>
    <r>
      <rPr>
        <b val="true"/>
        <sz val="13"/>
        <rFont val="Arial"/>
        <family val="0"/>
        <charset val="1"/>
      </rPr>
      <t xml:space="preserve">ARWC-JPN-002 · Sugaya Toshikazu </t>
    </r>
    <r>
      <rPr>
        <b val="true"/>
        <sz val="13"/>
        <rFont val="WenQuanYi Zen Hei"/>
        <family val="2"/>
      </rPr>
      <t xml:space="preserve">菅家利和 </t>
    </r>
    <r>
      <rPr>
        <b val="true"/>
        <sz val="13"/>
        <rFont val="Arial"/>
        <family val="0"/>
        <charset val="1"/>
      </rPr>
      <t xml:space="preserve">(Ashikaga case)</t>
    </r>
  </si>
  <si>
    <t xml:space="preserve">☒ Marked (D2)</t>
  </si>
  <si>
    <r>
      <rPr>
        <b val="true"/>
        <sz val="13"/>
        <rFont val="Arial"/>
        <family val="0"/>
        <charset val="1"/>
      </rPr>
      <t xml:space="preserve">ARWC-TWN-001 · Chiang Kuo-ching </t>
    </r>
    <r>
      <rPr>
        <b val="true"/>
        <sz val="13"/>
        <rFont val="WenQuanYi Zen Hei"/>
        <family val="2"/>
      </rPr>
      <t xml:space="preserve">江國慶</t>
    </r>
  </si>
  <si>
    <t xml:space="preserve">ARWC-IDN-001 · Sengkon and Karta</t>
  </si>
  <si>
    <r>
      <rPr>
        <b val="true"/>
        <sz val="13"/>
        <rFont val="Arial"/>
        <family val="0"/>
        <charset val="1"/>
      </rPr>
      <t xml:space="preserve">ARWC-CHN-002 · Zhang Yuhuan </t>
    </r>
    <r>
      <rPr>
        <b val="true"/>
        <sz val="13"/>
        <rFont val="WenQuanYi Zen Hei"/>
        <family val="2"/>
      </rPr>
      <t xml:space="preserve">张玉环</t>
    </r>
  </si>
  <si>
    <r>
      <rPr>
        <i val="true"/>
        <sz val="10"/>
        <rFont val="Arial"/>
        <family val="0"/>
        <charset val="1"/>
      </rPr>
      <t xml:space="preserve">Intentional homicide </t>
    </r>
    <r>
      <rPr>
        <i val="true"/>
        <sz val="10"/>
        <rFont val="WenQuanYi Zen Hei"/>
        <family val="2"/>
      </rPr>
      <t xml:space="preserve">故意杀人 </t>
    </r>
    <r>
      <rPr>
        <i val="true"/>
        <sz val="10"/>
        <rFont val="Arial"/>
        <family val="0"/>
        <charset val="1"/>
      </rPr>
      <t xml:space="preserve">· China (Jiangxi) · Final 2001 · Retrial acquittal 2020</t>
    </r>
  </si>
  <si>
    <t xml:space="preserve">☒ Marked (D1)</t>
  </si>
  <si>
    <r>
      <rPr>
        <b val="true"/>
        <sz val="13"/>
        <rFont val="Arial"/>
        <family val="0"/>
        <charset val="1"/>
      </rPr>
      <t xml:space="preserve">ARWC-KOR-001 · Yoon Sung-yeo </t>
    </r>
    <r>
      <rPr>
        <b val="true"/>
        <sz val="13"/>
        <rFont val="WenQuanYi Zen Hei"/>
        <family val="2"/>
      </rPr>
      <t xml:space="preserve">윤성여 </t>
    </r>
    <r>
      <rPr>
        <b val="true"/>
        <sz val="13"/>
        <rFont val="Arial"/>
        <family val="0"/>
        <charset val="1"/>
      </rPr>
      <t xml:space="preserve">(eighth Hwaseong case)</t>
    </r>
  </si>
  <si>
    <t xml:space="preserve">Worked exclusion · Hong Kong · HKSAR v A</t>
  </si>
  <si>
    <t xml:space="preserve">Not coded</t>
  </si>
  <si>
    <t xml:space="preserve">Sections E, G and H are not coded for a case that fails at Finality.</t>
  </si>
  <si>
    <t xml:space="preserve">No widely known Hong Kong reversal passes the finality criterion. The best known, Donald Tsang’s conviction for misconduct in public office, quashed by the Court of Final Appeal on 26 June 2019, and the convictions of three former leaders of the Hong Kong Alliance in Support of Patriotic Democratic Movements of China, quashed by the same court on 6 March 2025, came on ordinary appeal, and both turned on legal error rather than innocence. This case is coded instead because a later judgment answered the question the criterion asks: whether a conviction quashed on appeal was ever a final one.</t>
  </si>
  <si>
    <t xml:space="preserve">JUR-HKG-01 (new; draft in Appendix A).</t>
  </si>
  <si>
    <t xml:space="preserve">Sections E, G and H are not coded for a case that fails at Finality. For the record, the corrective act was the Court of Appeal’s judgment of 2015-09-16 quashing the conviction on the Department of Justice’s concession (CACC 400/2013) [verify: whether a retrial was ordered: not reported]. Had the case been final, it would have been coded 4a (suppression of exculpatory evidence).</t>
  </si>
  <si>
    <t xml:space="preserve">What an included Hong Kong case would need</t>
  </si>
  <si>
    <t xml:space="preserve">A Hong Kong case would qualify only if the conviction was corrected after the appeal had been dismissed or the time to appeal had run out: on a referral by the Chief Executive to the Court of Appeal under section 83P of the Criminal Procedure Ordinance (Cap. 221), on an appeal allowed out of time (D11), or by a pardon granted on grounds of innocence. The government’s ex gratia scheme is framed around the same routes: its guideline 4(a) covers a conviction quashed after a Chief Executive referral or on an appeal out of time (Department of Justice, 2014). The Department reported nine applications under the scheme in five years, seven of them rejected, without saying which routes they came through. No confirmed post-finality case was found; the nearest is a petition asking the Chief Executive to pardon or refer a case, which was refused (Ch’ng Poh, reported in 2004). Finding such cases needs a search of the Judiciary’s Legal Reference System, which could not be reached from here, and a Hong Kong contributor.</t>
  </si>
  <si>
    <t xml:space="preserve">ARWC-IND-001 · Ankush Maruti Shinde and five others</t>
  </si>
  <si>
    <t xml:space="preserve">Coded in: Second set. Source: ARWC coded sets of 1 October 2026 (first and second sets) or Supplement B of the accepted manuscript. Items marked [verify] are still to confirm.</t>
  </si>
  <si>
    <t xml:space="preserve">☐ Not marked (D1, D2, D17)</t>
  </si>
  <si>
    <t xml:space="preserve">ARWC-ISR-001 · Roman Zadorov, רומן זדורוב</t>
  </si>
  <si>
    <t xml:space="preserve">ARWC-PAK-001 · Zulfikar Ali Bhutto, ذوالفقار علی بھٹو</t>
  </si>
  <si>
    <t xml:space="preserve">ARWC-SGP-001 · Ilechukwu Uchechukwu Chukwudi</t>
  </si>
  <si>
    <t xml:space="preserve">ARWC-VNM-001 · Nguyen Thanh Chan, Nguyễn Thanh Chấn</t>
  </si>
  <si>
    <t xml:space="preserve">☒ Marked (D1, D2, D16)</t>
  </si>
  <si>
    <t xml:space="preserve">Action 3</t>
  </si>
  <si>
    <t xml:space="preserve">Action 4</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</si>
</sst>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1"/>
      <color rgb="FFFFFFFF"/>
      <name val="Arial"/>
      <family val="0"/>
      <charset val="1"/>
    </font>
    <font>
      <sz val="10"/>
      <name val="WenQuanYi Zen Hei"/>
      <family val="2"/>
      <charset val="1"/>
    </font>
    <font>
      <u val="single"/>
      <sz val="10"/>
      <color rgb="FF2F4A8A"/>
      <name val="Arial"/>
      <family val="0"/>
      <charset val="1"/>
    </font>
    <font>
      <sz val="10"/>
      <name val="WenQuanYi Zen Hei"/>
      <family val="2"/>
    </font>
    <font>
      <b val="true"/>
      <sz val="10"/>
      <color rgb="FFFFFFFF"/>
      <name val="Arial"/>
      <family val="0"/>
      <charset val="1"/>
    </font>
    <font>
      <b val="true"/>
      <sz val="13"/>
      <name val="Arial"/>
      <family val="0"/>
      <charset val="1"/>
    </font>
    <font>
      <b val="true"/>
      <sz val="13"/>
      <name val="WenQuanYi Zen Hei"/>
      <family val="2"/>
    </font>
    <font>
      <i val="true"/>
      <sz val="10"/>
      <name val="Arial"/>
      <family val="0"/>
      <charset val="1"/>
    </font>
    <font>
      <i val="true"/>
      <sz val="10"/>
      <name val="WenQuanYi Zen Hei"/>
      <family val="2"/>
    </font>
  </fonts>
  <fills count="8">
    <fill>
      <patternFill patternType="none"/>
    </fill>
    <fill>
      <patternFill patternType="gray125"/>
    </fill>
    <fill>
      <patternFill patternType="solid">
        <fgColor rgb="FF2F4A8A"/>
        <bgColor rgb="FF223A73"/>
      </patternFill>
    </fill>
    <fill>
      <patternFill patternType="solid">
        <fgColor rgb="FFE4E9F4"/>
        <bgColor rgb="FFEEF1F8"/>
      </patternFill>
    </fill>
    <fill>
      <patternFill patternType="solid">
        <fgColor rgb="FFEEF1F8"/>
        <bgColor rgb="FFF2F2F2"/>
      </patternFill>
    </fill>
    <fill>
      <patternFill patternType="solid">
        <fgColor rgb="FFFFF4DC"/>
        <bgColor rgb="FFF2F2F2"/>
      </patternFill>
    </fill>
    <fill>
      <patternFill patternType="solid">
        <fgColor rgb="FFF2F2F2"/>
        <bgColor rgb="FFEEF1F8"/>
      </patternFill>
    </fill>
    <fill>
      <patternFill patternType="solid">
        <fgColor rgb="FF223A73"/>
        <bgColor rgb="FF2F4A8A"/>
      </patternFill>
    </fill>
  </fills>
  <borders count="2">
    <border diagonalUp="false" diagonalDown="false">
      <left/>
      <right/>
      <top/>
      <bottom/>
      <diagonal/>
    </border>
    <border diagonalUp="false" diagonalDown="false">
      <left/>
      <right/>
      <top/>
      <bottom style="thin">
        <color rgb="FFD0D7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false" applyAlignment="true" applyProtection="false">
      <alignment horizontal="general" vertical="center"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F4A8A"/>
          <bgColor rgb="FF000000"/>
        </patternFill>
      </fill>
    </dxf>
    <dxf>
      <fill>
        <patternFill patternType="solid">
          <fgColor rgb="FFE4E9F4"/>
          <bgColor rgb="FF000000"/>
        </patternFill>
      </fill>
    </dxf>
    <dxf>
      <fill>
        <patternFill patternType="solid">
          <fgColor rgb="FFEEF1F8"/>
          <bgColor rgb="FF000000"/>
        </patternFill>
      </fill>
    </dxf>
    <dxf>
      <fill>
        <patternFill patternType="solid">
          <fgColor rgb="FFF2F2F2"/>
          <bgColor rgb="FF000000"/>
        </patternFill>
      </fill>
    </dxf>
    <dxf>
      <fill>
        <patternFill patternType="solid">
          <fgColor rgb="FFFFF4D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DC"/>
      <rgbColor rgb="FFEEF1F8"/>
      <rgbColor rgb="FF660066"/>
      <rgbColor rgb="FFFF8080"/>
      <rgbColor rgb="FF0066CC"/>
      <rgbColor rgb="FFD0D7E4"/>
      <rgbColor rgb="FF000080"/>
      <rgbColor rgb="FFFF00FF"/>
      <rgbColor rgb="FFFFFF00"/>
      <rgbColor rgb="FF00FFFF"/>
      <rgbColor rgb="FF800080"/>
      <rgbColor rgb="FF800000"/>
      <rgbColor rgb="FF008080"/>
      <rgbColor rgb="FF0000FF"/>
      <rgbColor rgb="FF00CCFF"/>
      <rgbColor rgb="FFE4E9F4"/>
      <rgbColor rgb="FFF2F2F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2F4A8A"/>
      <rgbColor rgb="FF339966"/>
      <rgbColor rgb="FF003300"/>
      <rgbColor rgb="FF333300"/>
      <rgbColor rgb="FF993300"/>
      <rgbColor rgb="FF993366"/>
      <rgbColor rgb="FF223A73"/>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usali.org/wc-case-archive/nie-shubin-case" TargetMode="External"/><Relationship Id="rId2" Type="http://schemas.openxmlformats.org/officeDocument/2006/relationships/hyperlink" Target="https://www.courts.go.jp/hanrei/93622/detail4/index.html" TargetMode="External"/><Relationship Id="rId3" Type="http://schemas.openxmlformats.org/officeDocument/2006/relationships/hyperlink" Target="https://www.courts.go.jp/hanrei/80213/detail4/index.html" TargetMode="External"/><Relationship Id="rId4" Type="http://schemas.openxmlformats.org/officeDocument/2006/relationships/hyperlink" Target="https://cybsbox.cy.gov.tw/CYBSBoxSSL/edoc/download/50046" TargetMode="External"/><Relationship Id="rId5" Type="http://schemas.openxmlformats.org/officeDocument/2006/relationships/hyperlink" Target="https://usali.org/wc-case-archive/zhang-yuhuan-murder-case" TargetMode="External"/><Relationship Id="rId6" Type="http://schemas.openxmlformats.org/officeDocument/2006/relationships/hyperlink" Target="https://www.lawtimes.co.kr/news/articleView.html?idxno=166641" TargetMode="External"/><Relationship Id="rId7" Type="http://schemas.openxmlformats.org/officeDocument/2006/relationships/hyperlink" Target="https://indiankanoon.org/doc/54814974/" TargetMode="External"/><Relationship Id="rId8" Type="http://schemas.openxmlformats.org/officeDocument/2006/relationships/hyperlink" Target="https://www.gov.il/BlobFolder/dynamiccollectorresultitem/decision502-07/he/502-07.pdf" TargetMode="External"/><Relationship Id="rId9" Type="http://schemas.openxmlformats.org/officeDocument/2006/relationships/hyperlink" Target="https://www.dawn.com/news/1819573" TargetMode="External"/><Relationship Id="rId10" Type="http://schemas.openxmlformats.org/officeDocument/2006/relationships/hyperlink" Target="https://www.elitigation.sg/gd/s/2020_SGCA_90" TargetMode="External"/><Relationship Id="rId11" Type="http://schemas.openxmlformats.org/officeDocument/2006/relationships/hyperlink" Target="https://baochinhphu.vn/tam-dinh-chi-thi-hanh-an-tu-chung-than-1-pham-nhan-102152351.htm" TargetMode="External"/><Relationship Id="rId12" Type="http://schemas.openxmlformats.org/officeDocument/2006/relationships/hyperlink" Target="https://www.thejakartapost.com/news/2008/09/02/editorial-defending-wrong-judgment.html" TargetMode="External"/><Relationship Id="rId13" Type="http://schemas.openxmlformats.org/officeDocument/2006/relationships/hyperlink" Target="https://www.doj.gov.hk/en/notable_judgments/pdf/HCAL_176_2018e.pdf" TargetMode="External"/><Relationship Id="rId14" Type="http://schemas.openxmlformats.org/officeDocument/2006/relationships/hyperlink" Target="https://usali.org/wc-case-archive/she-xianglin-case" TargetMode="External"/><Relationship Id="rId15" Type="http://schemas.openxmlformats.org/officeDocument/2006/relationships/hyperlink" Target="https://usali.org/wc-case-archive/zhao-zuohai-case" TargetMode="External"/><Relationship Id="rId16" Type="http://schemas.openxmlformats.org/officeDocument/2006/relationships/hyperlink" Target="https://usali.org/wc-case-archive/huge-jiletu-case" TargetMode="External"/><Relationship Id="rId17" Type="http://schemas.openxmlformats.org/officeDocument/2006/relationships/hyperlink" Target="https://usali.org/wc-case-archive/zhang-hui-zhang-gaoping-case" TargetMode="External"/><Relationship Id="rId18" Type="http://schemas.openxmlformats.org/officeDocument/2006/relationships/hyperlink" Target="https://usali.org/wc-case-archive/tian-weidong-case" TargetMode="External"/><Relationship Id="rId19" Type="http://schemas.openxmlformats.org/officeDocument/2006/relationships/hyperlink" Target="https://usali.org/wc-case-archive/du-peiwu-case" TargetMode="External"/><Relationship Id="rId20" Type="http://schemas.openxmlformats.org/officeDocument/2006/relationships/hyperlink" Target="https://usali.org/wc-case-archive/bai-chun-rong-case" TargetMode="External"/><Relationship Id="rId21" Type="http://schemas.openxmlformats.org/officeDocument/2006/relationships/hyperlink" Target="https://usali.org/wc-case-archive/shen-liujin-murder-case" TargetMode="External"/><Relationship Id="rId22" Type="http://schemas.openxmlformats.org/officeDocument/2006/relationships/hyperlink" Target="https://usali.org/wc-case-archive/guo-li-racketeering-case" TargetMode="External"/><Relationship Id="rId23" Type="http://schemas.openxmlformats.org/officeDocument/2006/relationships/hyperlink" Target="https://usali.org/wc-case-archive/zeng-fannian-extortion-case" TargetMode="External"/><Relationship Id="rId24" Type="http://schemas.openxmlformats.org/officeDocument/2006/relationships/hyperlink" Target="https://usali.org/wc-case-archive/zeng-aiyun-murder-case" TargetMode="External"/><Relationship Id="rId25" Type="http://schemas.openxmlformats.org/officeDocument/2006/relationships/hyperlink" Target="https://usali.org/wc-case-archive/qian-renfeng-poison-case" TargetMode="External"/><Relationship Id="rId26" Type="http://schemas.openxmlformats.org/officeDocument/2006/relationships/hyperlink" Target="https://usali.org/wc-case-archive/fang-junjin-case" TargetMode="External"/><Relationship Id="rId27" Type="http://schemas.openxmlformats.org/officeDocument/2006/relationships/hyperlink" Target="https://usali.org/wc-case-archive/tan-xiuyi-rape-and-murder-case" TargetMode="External"/><Relationship Id="rId28" Type="http://schemas.openxmlformats.org/officeDocument/2006/relationships/hyperlink" Target="https://usali.org/wc-case-archive/lu-rongxin-rape-and-murder-case" TargetMode="External"/><Relationship Id="rId29" Type="http://schemas.openxmlformats.org/officeDocument/2006/relationships/hyperlink" Target="https://usali.org/wc-case-archive/wang-benyu-case" TargetMode="External"/><Relationship Id="rId30" Type="http://schemas.openxmlformats.org/officeDocument/2006/relationships/hyperlink" Target="https://usali.org/wc-case-archive/new-zhang-guangxiang-robbery-case-" TargetMode="External"/><Relationship Id="rId31" Type="http://schemas.openxmlformats.org/officeDocument/2006/relationships/hyperlink" Target="https://usali.org/wc-case-archive/yang-botao-case" TargetMode="External"/><Relationship Id="rId32" Type="http://schemas.openxmlformats.org/officeDocument/2006/relationships/hyperlink" Target="https://usali.org/wc-case-archive/wu-chunhong-murder-case" TargetMode="External"/><Relationship Id="rId33" Type="http://schemas.openxmlformats.org/officeDocument/2006/relationships/hyperlink" Target="https://usali.org/wc-case-archive/li-huailiang-case" TargetMode="External"/><Relationship Id="rId34" Type="http://schemas.openxmlformats.org/officeDocument/2006/relationships/hyperlink" Target="https://usali.org/wc-case-archive/sun-wangang-case" TargetMode="External"/><Relationship Id="rId35" Type="http://schemas.openxmlformats.org/officeDocument/2006/relationships/hyperlink" Target="https://usali.org/wc-case-archive/yang-dewu-murder-case" TargetMode="External"/><Relationship Id="rId36" Type="http://schemas.openxmlformats.org/officeDocument/2006/relationships/hyperlink" Target="https://usali.org/wc-case-archive/zheng-yonglin-case" TargetMode="External"/><Relationship Id="rId37" Type="http://schemas.openxmlformats.org/officeDocument/2006/relationships/hyperlink" Target="https://usali.org/wc-case-archive/yu-yingsheng-case" TargetMode="External"/><Relationship Id="rId38" Type="http://schemas.openxmlformats.org/officeDocument/2006/relationships/hyperlink" Target="https://usali.org/new-and-notable/new-additions-to-wrongful-convictions-case-archive" TargetMode="External"/><Relationship Id="rId39" Type="http://schemas.openxmlformats.org/officeDocument/2006/relationships/hyperlink" Target="https://usali.org/new-and-notable/new-additions-to-wrongful-convictions-case-archive" TargetMode="External"/><Relationship Id="rId40" Type="http://schemas.openxmlformats.org/officeDocument/2006/relationships/hyperlink" Target="https://usali.org/wc-case-archive" TargetMode="External"/><Relationship Id="rId41" Type="http://schemas.openxmlformats.org/officeDocument/2006/relationships/hyperlink" Target="https://usali.org/wc-case-archive" TargetMode="External"/><Relationship Id="rId42" Type="http://schemas.openxmlformats.org/officeDocument/2006/relationships/hyperlink" Target="https://usali.org/wc-case-archive" TargetMode="External"/><Relationship Id="rId43" Type="http://schemas.openxmlformats.org/officeDocument/2006/relationships/hyperlink" Target="https://usali.org/wc-case-archive" TargetMode="External"/><Relationship Id="rId44" Type="http://schemas.openxmlformats.org/officeDocument/2006/relationships/hyperlink" Target="https://english.adnkronos.com/2026/04/28/man-acquitted-over-1986-murder-seeks-state-compensation/" TargetMode="External"/><Relationship Id="rId45" Type="http://schemas.openxmlformats.org/officeDocument/2006/relationships/hyperlink" Target="https://www.taipeitimes.com/News/front/archives/2012/09/01/2003541675" TargetMode="External"/><Relationship Id="rId46" Type="http://schemas.openxmlformats.org/officeDocument/2006/relationships/hyperlink" Target="https://talkingtaiwan.com/?p=6809" TargetMode="External"/><Relationship Id="rId47" Type="http://schemas.openxmlformats.org/officeDocument/2006/relationships/hyperlink" Target="https://talkingtaiwan.com/?p=6809" TargetMode="External"/><Relationship Id="rId48" Type="http://schemas.openxmlformats.org/officeDocument/2006/relationships/hyperlink" Target="https://talkingtaiwan.com/?p=6809" TargetMode="External"/><Relationship Id="rId49" Type="http://schemas.openxmlformats.org/officeDocument/2006/relationships/hyperlink" Target="https://www.mirrormedia.mg/story/20211118web003" TargetMode="External"/><Relationship Id="rId50" Type="http://schemas.openxmlformats.org/officeDocument/2006/relationships/hyperlink" Target="https://news.pts.org.tw/article/597576" TargetMode="External"/><Relationship Id="rId51" Type="http://schemas.openxmlformats.org/officeDocument/2006/relationships/hyperlink" Target="https://doi.org/10.1016/j.fsigen.2017.08.004" TargetMode="External"/><Relationship Id="rId52" Type="http://schemas.openxmlformats.org/officeDocument/2006/relationships/hyperlink" Target="https://www.koreajoongangdaily.com/korea/daughter-serving-life-sentence-for-fathers-murder-acquitted-after-24-years/12127561" TargetMode="External"/><Relationship Id="rId53" Type="http://schemas.openxmlformats.org/officeDocument/2006/relationships/hyperlink" Target="https://www.koreajoongangdaily.com/korea/busan-court-exonerates-men-imprisoned-21-years-for-murder/10944681" TargetMode="External"/><Relationship Id="rId54" Type="http://schemas.openxmlformats.org/officeDocument/2006/relationships/hyperlink" Target="https://mobile.newsis.com/view/NISX20191011_0000796489" TargetMode="External"/><Relationship Id="rId55" Type="http://schemas.openxmlformats.org/officeDocument/2006/relationships/hyperlink" Target="https://mobile.newsis.com/view/NISX20191011_0000796489" TargetMode="External"/><Relationship Id="rId56" Type="http://schemas.openxmlformats.org/officeDocument/2006/relationships/hyperlink" Target="https://dtinews.dantri.com.vn/vietnam-today/innocent-man-gets-vnd10bn-compensation-payout-20170425110718760.htm" TargetMode="External"/><Relationship Id="rId57" Type="http://schemas.openxmlformats.org/officeDocument/2006/relationships/hyperlink" Target="https://www.jpost.com/israel/state-compensates-convicted-killer/article-183757" TargetMode="External"/><Relationship Id="rId58"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t="s">
        <v>8</v>
      </c>
    </row>
    <row r="11" customFormat="false" ht="15" hidden="false" customHeight="true" outlineLevel="0" collapsed="false">
      <c r="A11" s="3"/>
    </row>
    <row r="12" customFormat="false" ht="15" hidden="false" customHeight="true" outlineLevel="0" collapsed="false">
      <c r="A12" s="4" t="s">
        <v>9</v>
      </c>
    </row>
    <row r="13" customFormat="false" ht="23.25" hidden="false" customHeight="true" outlineLevel="0" collapsed="false">
      <c r="A13" s="3" t="s">
        <v>10</v>
      </c>
    </row>
    <row r="14" customFormat="false" ht="23.25" hidden="false" customHeight="true" outlineLevel="0" collapsed="false">
      <c r="A14" s="3" t="s">
        <v>11</v>
      </c>
    </row>
    <row r="15" customFormat="false" ht="15" hidden="false" customHeight="true" outlineLevel="0" collapsed="false">
      <c r="A15" s="3" t="s">
        <v>12</v>
      </c>
    </row>
    <row r="16" customFormat="false" ht="23.25" hidden="false" customHeight="true" outlineLevel="0" collapsed="false">
      <c r="A16" s="3" t="s">
        <v>13</v>
      </c>
    </row>
    <row r="17" customFormat="false" ht="15" hidden="false" customHeight="true" outlineLevel="0" collapsed="false">
      <c r="A17" s="3"/>
    </row>
    <row r="18" customFormat="false" ht="15" hidden="false" customHeight="true" outlineLevel="0" collapsed="false">
      <c r="A18" s="4" t="s">
        <v>14</v>
      </c>
    </row>
    <row r="19" customFormat="false" ht="23.25" hidden="false" customHeight="true" outlineLevel="0" collapsed="false">
      <c r="A19" s="3" t="s">
        <v>15</v>
      </c>
    </row>
    <row r="20" customFormat="false" ht="15" hidden="false" customHeight="true" outlineLevel="0" collapsed="false">
      <c r="A20" s="3" t="s">
        <v>16</v>
      </c>
    </row>
    <row r="22" customFormat="false" ht="15" hidden="false" customHeight="true" outlineLevel="0" collapsed="false">
      <c r="A22" s="4" t="s">
        <v>17</v>
      </c>
    </row>
    <row r="23" customFormat="false" ht="23.25" hidden="false" customHeight="true" outlineLevel="0" collapsed="false">
      <c r="A23" s="3" t="s">
        <v>18</v>
      </c>
    </row>
    <row r="24" customFormat="false" ht="23.25" hidden="false" customHeight="true" outlineLevel="0" collapsed="false">
      <c r="A24" s="3" t="s">
        <v>19</v>
      </c>
    </row>
    <row r="25" customFormat="false" ht="15" hidden="false" customHeight="true" outlineLevel="0" collapsed="false">
      <c r="A25" s="3" t="s">
        <v>20</v>
      </c>
    </row>
    <row r="26" customFormat="false" ht="45.75" hidden="false" customHeight="true" outlineLevel="0" collapsed="false">
      <c r="A26" s="3"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22"/>
    <col collapsed="false" customWidth="true" hidden="false" outlineLevel="0" max="4" min="4" style="1" width="32"/>
    <col collapsed="false" customWidth="true" hidden="false" outlineLevel="0" max="5" min="5" style="1" width="18"/>
    <col collapsed="false" customWidth="true" hidden="false" outlineLevel="0" max="6" min="6" style="1" width="13"/>
    <col collapsed="false" customWidth="true" hidden="false" outlineLevel="0" max="7" min="7" style="1" width="18"/>
    <col collapsed="false" customWidth="true" hidden="false" outlineLevel="0" max="8" min="8" style="1" width="26"/>
    <col collapsed="false" customWidth="true" hidden="false" outlineLevel="0" max="10" min="9" style="1" width="12"/>
    <col collapsed="false" customWidth="true" hidden="false" outlineLevel="0" max="11" min="11" style="1" width="40"/>
    <col collapsed="false" customWidth="true" hidden="false" outlineLevel="0" max="12" min="12" style="1" width="12"/>
    <col collapsed="false" customWidth="true" hidden="false" outlineLevel="0" max="13" min="13" style="1" width="16"/>
    <col collapsed="false" customWidth="true" hidden="false" outlineLevel="0" max="14" min="14" style="1" width="26"/>
    <col collapsed="false" customWidth="true" hidden="false" outlineLevel="0" max="15" min="15" style="1" width="40"/>
    <col collapsed="false" customWidth="true" hidden="false" outlineLevel="0" max="16" min="16" style="1" width="44"/>
  </cols>
  <sheetData>
    <row r="1" customFormat="false" ht="51.75" hidden="false" customHeight="true" outlineLevel="0" collapsed="false">
      <c r="A1" s="5" t="s">
        <v>22</v>
      </c>
      <c r="B1" s="5" t="s">
        <v>23</v>
      </c>
      <c r="C1" s="5" t="s">
        <v>24</v>
      </c>
      <c r="D1" s="5" t="s">
        <v>25</v>
      </c>
      <c r="E1" s="5" t="s">
        <v>26</v>
      </c>
      <c r="F1" s="5" t="s">
        <v>27</v>
      </c>
      <c r="G1" s="5" t="s">
        <v>28</v>
      </c>
      <c r="H1" s="5" t="s">
        <v>29</v>
      </c>
      <c r="I1" s="5" t="s">
        <v>30</v>
      </c>
      <c r="J1" s="5" t="s">
        <v>31</v>
      </c>
      <c r="K1" s="5" t="s">
        <v>32</v>
      </c>
      <c r="L1" s="5" t="s">
        <v>33</v>
      </c>
      <c r="M1" s="5" t="s">
        <v>34</v>
      </c>
      <c r="N1" s="5" t="s">
        <v>35</v>
      </c>
      <c r="O1" s="5" t="s">
        <v>36</v>
      </c>
      <c r="P1" s="5" t="s">
        <v>37</v>
      </c>
    </row>
    <row r="2" customFormat="false" ht="23.25" hidden="false" customHeight="true" outlineLevel="0" collapsed="false">
      <c r="A2" s="6" t="s">
        <v>38</v>
      </c>
      <c r="B2" s="6" t="s">
        <v>39</v>
      </c>
      <c r="C2" s="6" t="s">
        <v>40</v>
      </c>
      <c r="D2" s="6" t="s">
        <v>41</v>
      </c>
      <c r="E2" s="7" t="s">
        <v>42</v>
      </c>
      <c r="F2" s="6" t="s">
        <v>43</v>
      </c>
      <c r="G2" s="6" t="s">
        <v>44</v>
      </c>
      <c r="H2" s="6" t="s">
        <v>45</v>
      </c>
      <c r="I2" s="6" t="n">
        <v>1995</v>
      </c>
      <c r="J2" s="6" t="n">
        <v>2016</v>
      </c>
      <c r="K2" s="6" t="s">
        <v>46</v>
      </c>
      <c r="L2" s="6" t="s">
        <v>47</v>
      </c>
      <c r="M2" s="6" t="s">
        <v>48</v>
      </c>
      <c r="N2" s="6" t="s">
        <v>49</v>
      </c>
      <c r="O2" s="8" t="s">
        <v>50</v>
      </c>
      <c r="P2" s="6"/>
    </row>
    <row r="3" customFormat="false" ht="15" hidden="false" customHeight="true" outlineLevel="0" collapsed="false">
      <c r="A3" s="9" t="s">
        <v>51</v>
      </c>
      <c r="B3" s="9" t="s">
        <v>52</v>
      </c>
      <c r="C3" s="9" t="s">
        <v>53</v>
      </c>
      <c r="D3" s="9" t="s">
        <v>54</v>
      </c>
      <c r="E3" s="10" t="s">
        <v>55</v>
      </c>
      <c r="F3" s="9" t="s">
        <v>56</v>
      </c>
      <c r="G3" s="9" t="s">
        <v>57</v>
      </c>
      <c r="H3" s="9" t="s">
        <v>58</v>
      </c>
      <c r="I3" s="9" t="n">
        <v>1980</v>
      </c>
      <c r="J3" s="9" t="n">
        <v>2024</v>
      </c>
      <c r="K3" s="9" t="s">
        <v>59</v>
      </c>
      <c r="L3" s="9" t="s">
        <v>60</v>
      </c>
      <c r="M3" s="9" t="s">
        <v>48</v>
      </c>
      <c r="N3" s="9" t="s">
        <v>61</v>
      </c>
      <c r="O3" s="11" t="s">
        <v>62</v>
      </c>
      <c r="P3" s="9" t="s">
        <v>63</v>
      </c>
    </row>
    <row r="4" customFormat="false" ht="15" hidden="false" customHeight="true" outlineLevel="0" collapsed="false">
      <c r="A4" s="9" t="s">
        <v>64</v>
      </c>
      <c r="B4" s="9" t="s">
        <v>65</v>
      </c>
      <c r="C4" s="9" t="s">
        <v>53</v>
      </c>
      <c r="D4" s="9" t="s">
        <v>66</v>
      </c>
      <c r="E4" s="10" t="s">
        <v>67</v>
      </c>
      <c r="F4" s="9" t="s">
        <v>56</v>
      </c>
      <c r="G4" s="9" t="s">
        <v>68</v>
      </c>
      <c r="H4" s="9" t="s">
        <v>69</v>
      </c>
      <c r="I4" s="9" t="n">
        <v>2000</v>
      </c>
      <c r="J4" s="9" t="n">
        <v>2010</v>
      </c>
      <c r="K4" s="9" t="s">
        <v>70</v>
      </c>
      <c r="L4" s="9" t="s">
        <v>47</v>
      </c>
      <c r="M4" s="9" t="s">
        <v>48</v>
      </c>
      <c r="N4" s="9" t="s">
        <v>61</v>
      </c>
      <c r="O4" s="11" t="s">
        <v>71</v>
      </c>
      <c r="P4" s="9" t="s">
        <v>72</v>
      </c>
    </row>
    <row r="5" customFormat="false" ht="23.25" hidden="false" customHeight="true" outlineLevel="0" collapsed="false">
      <c r="A5" s="9" t="s">
        <v>73</v>
      </c>
      <c r="B5" s="9" t="s">
        <v>74</v>
      </c>
      <c r="C5" s="9" t="s">
        <v>53</v>
      </c>
      <c r="D5" s="9" t="s">
        <v>75</v>
      </c>
      <c r="E5" s="10" t="s">
        <v>76</v>
      </c>
      <c r="F5" s="9" t="s">
        <v>77</v>
      </c>
      <c r="G5" s="9" t="s">
        <v>78</v>
      </c>
      <c r="H5" s="9" t="s">
        <v>79</v>
      </c>
      <c r="I5" s="9" t="n">
        <v>1997</v>
      </c>
      <c r="J5" s="9" t="n">
        <v>2010</v>
      </c>
      <c r="K5" s="9" t="s">
        <v>80</v>
      </c>
      <c r="L5" s="9" t="s">
        <v>47</v>
      </c>
      <c r="M5" s="9" t="s">
        <v>48</v>
      </c>
      <c r="N5" s="9" t="s">
        <v>61</v>
      </c>
      <c r="O5" s="11" t="s">
        <v>81</v>
      </c>
      <c r="P5" s="9" t="s">
        <v>82</v>
      </c>
    </row>
    <row r="6" customFormat="false" ht="23.25" hidden="false" customHeight="true" outlineLevel="0" collapsed="false">
      <c r="A6" s="9" t="s">
        <v>83</v>
      </c>
      <c r="B6" s="9" t="s">
        <v>84</v>
      </c>
      <c r="C6" s="9" t="s">
        <v>53</v>
      </c>
      <c r="D6" s="9" t="s">
        <v>85</v>
      </c>
      <c r="E6" s="10" t="s">
        <v>86</v>
      </c>
      <c r="F6" s="9" t="s">
        <v>43</v>
      </c>
      <c r="G6" s="9" t="s">
        <v>87</v>
      </c>
      <c r="H6" s="9" t="s">
        <v>88</v>
      </c>
      <c r="I6" s="9" t="n">
        <v>2001</v>
      </c>
      <c r="J6" s="9" t="n">
        <v>2020</v>
      </c>
      <c r="K6" s="9" t="s">
        <v>89</v>
      </c>
      <c r="L6" s="9" t="s">
        <v>47</v>
      </c>
      <c r="M6" s="9" t="s">
        <v>48</v>
      </c>
      <c r="N6" s="9" t="s">
        <v>90</v>
      </c>
      <c r="O6" s="11" t="s">
        <v>91</v>
      </c>
      <c r="P6" s="9"/>
    </row>
    <row r="7" customFormat="false" ht="23.25" hidden="false" customHeight="true" outlineLevel="0" collapsed="false">
      <c r="A7" s="9" t="s">
        <v>92</v>
      </c>
      <c r="B7" s="9" t="s">
        <v>93</v>
      </c>
      <c r="C7" s="9" t="s">
        <v>53</v>
      </c>
      <c r="D7" s="9" t="s">
        <v>94</v>
      </c>
      <c r="E7" s="10" t="s">
        <v>95</v>
      </c>
      <c r="F7" s="9" t="s">
        <v>96</v>
      </c>
      <c r="G7" s="9" t="s">
        <v>97</v>
      </c>
      <c r="H7" s="9" t="s">
        <v>98</v>
      </c>
      <c r="I7" s="9" t="n">
        <v>1989</v>
      </c>
      <c r="J7" s="9" t="n">
        <v>2020</v>
      </c>
      <c r="K7" s="9" t="s">
        <v>99</v>
      </c>
      <c r="L7" s="9" t="s">
        <v>47</v>
      </c>
      <c r="M7" s="9" t="s">
        <v>100</v>
      </c>
      <c r="N7" s="9" t="s">
        <v>61</v>
      </c>
      <c r="O7" s="11" t="s">
        <v>101</v>
      </c>
      <c r="P7" s="9" t="s">
        <v>102</v>
      </c>
    </row>
    <row r="8" customFormat="false" ht="15" hidden="false" customHeight="true" outlineLevel="0" collapsed="false">
      <c r="A8" s="9" t="s">
        <v>103</v>
      </c>
      <c r="B8" s="9" t="s">
        <v>104</v>
      </c>
      <c r="C8" s="9" t="s">
        <v>53</v>
      </c>
      <c r="D8" s="9" t="s">
        <v>105</v>
      </c>
      <c r="E8" s="9"/>
      <c r="F8" s="9" t="s">
        <v>106</v>
      </c>
      <c r="G8" s="9" t="s">
        <v>107</v>
      </c>
      <c r="H8" s="9" t="s">
        <v>108</v>
      </c>
      <c r="I8" s="9" t="n">
        <v>2009</v>
      </c>
      <c r="J8" s="9" t="n">
        <v>2019</v>
      </c>
      <c r="K8" s="9" t="s">
        <v>109</v>
      </c>
      <c r="L8" s="9" t="s">
        <v>60</v>
      </c>
      <c r="M8" s="9" t="s">
        <v>48</v>
      </c>
      <c r="N8" s="9" t="s">
        <v>110</v>
      </c>
      <c r="O8" s="11" t="s">
        <v>111</v>
      </c>
      <c r="P8" s="9"/>
    </row>
    <row r="9" customFormat="false" ht="15" hidden="false" customHeight="true" outlineLevel="0" collapsed="false">
      <c r="A9" s="9" t="s">
        <v>112</v>
      </c>
      <c r="B9" s="9" t="s">
        <v>113</v>
      </c>
      <c r="C9" s="9" t="s">
        <v>53</v>
      </c>
      <c r="D9" s="9" t="s">
        <v>114</v>
      </c>
      <c r="E9" s="9" t="s">
        <v>115</v>
      </c>
      <c r="F9" s="9" t="s">
        <v>116</v>
      </c>
      <c r="G9" s="9" t="s">
        <v>117</v>
      </c>
      <c r="H9" s="9" t="s">
        <v>118</v>
      </c>
      <c r="I9" s="9" t="n">
        <v>2015</v>
      </c>
      <c r="J9" s="9" t="n">
        <v>2023</v>
      </c>
      <c r="K9" s="9" t="s">
        <v>59</v>
      </c>
      <c r="L9" s="9" t="s">
        <v>60</v>
      </c>
      <c r="M9" s="9" t="s">
        <v>48</v>
      </c>
      <c r="N9" s="9" t="s">
        <v>110</v>
      </c>
      <c r="O9" s="11" t="s">
        <v>119</v>
      </c>
      <c r="P9" s="9"/>
    </row>
    <row r="10" customFormat="false" ht="23.25" hidden="false" customHeight="true" outlineLevel="0" collapsed="false">
      <c r="A10" s="9" t="s">
        <v>120</v>
      </c>
      <c r="B10" s="9" t="s">
        <v>121</v>
      </c>
      <c r="C10" s="9" t="s">
        <v>53</v>
      </c>
      <c r="D10" s="9" t="s">
        <v>122</v>
      </c>
      <c r="E10" s="9" t="s">
        <v>123</v>
      </c>
      <c r="F10" s="9" t="s">
        <v>124</v>
      </c>
      <c r="G10" s="9" t="s">
        <v>125</v>
      </c>
      <c r="H10" s="9" t="s">
        <v>126</v>
      </c>
      <c r="I10" s="9" t="n">
        <v>1979</v>
      </c>
      <c r="J10" s="9" t="n">
        <v>2024</v>
      </c>
      <c r="K10" s="9" t="s">
        <v>127</v>
      </c>
      <c r="L10" s="9" t="s">
        <v>128</v>
      </c>
      <c r="M10" s="9" t="s">
        <v>48</v>
      </c>
      <c r="N10" s="9" t="s">
        <v>110</v>
      </c>
      <c r="O10" s="11" t="s">
        <v>129</v>
      </c>
      <c r="P10" s="9" t="s">
        <v>130</v>
      </c>
    </row>
    <row r="11" customFormat="false" ht="23.25" hidden="false" customHeight="true" outlineLevel="0" collapsed="false">
      <c r="A11" s="9" t="s">
        <v>131</v>
      </c>
      <c r="B11" s="9" t="s">
        <v>132</v>
      </c>
      <c r="C11" s="9" t="s">
        <v>53</v>
      </c>
      <c r="D11" s="9" t="s">
        <v>133</v>
      </c>
      <c r="E11" s="9"/>
      <c r="F11" s="9" t="s">
        <v>134</v>
      </c>
      <c r="G11" s="9"/>
      <c r="H11" s="9" t="s">
        <v>135</v>
      </c>
      <c r="I11" s="9" t="n">
        <v>2015</v>
      </c>
      <c r="J11" s="9" t="n">
        <v>2020</v>
      </c>
      <c r="K11" s="9" t="s">
        <v>136</v>
      </c>
      <c r="L11" s="9" t="s">
        <v>60</v>
      </c>
      <c r="M11" s="9" t="s">
        <v>48</v>
      </c>
      <c r="N11" s="9" t="s">
        <v>110</v>
      </c>
      <c r="O11" s="11" t="s">
        <v>137</v>
      </c>
      <c r="P11" s="9"/>
    </row>
    <row r="12" customFormat="false" ht="23.25" hidden="false" customHeight="true" outlineLevel="0" collapsed="false">
      <c r="A12" s="9" t="s">
        <v>138</v>
      </c>
      <c r="B12" s="9" t="s">
        <v>139</v>
      </c>
      <c r="C12" s="9" t="s">
        <v>53</v>
      </c>
      <c r="D12" s="9" t="s">
        <v>140</v>
      </c>
      <c r="E12" s="9" t="s">
        <v>141</v>
      </c>
      <c r="F12" s="9" t="s">
        <v>142</v>
      </c>
      <c r="G12" s="9" t="s">
        <v>143</v>
      </c>
      <c r="H12" s="9" t="s">
        <v>118</v>
      </c>
      <c r="I12" s="9" t="n">
        <v>2004</v>
      </c>
      <c r="J12" s="9" t="n">
        <v>2013</v>
      </c>
      <c r="K12" s="9" t="s">
        <v>144</v>
      </c>
      <c r="L12" s="9" t="s">
        <v>47</v>
      </c>
      <c r="M12" s="9" t="s">
        <v>48</v>
      </c>
      <c r="N12" s="9" t="s">
        <v>110</v>
      </c>
      <c r="O12" s="11" t="s">
        <v>145</v>
      </c>
      <c r="P12" s="9"/>
    </row>
    <row r="13" customFormat="false" ht="23.25" hidden="false" customHeight="true" outlineLevel="0" collapsed="false">
      <c r="A13" s="12" t="s">
        <v>146</v>
      </c>
      <c r="B13" s="12" t="s">
        <v>147</v>
      </c>
      <c r="C13" s="12" t="s">
        <v>148</v>
      </c>
      <c r="D13" s="12" t="s">
        <v>149</v>
      </c>
      <c r="E13" s="12"/>
      <c r="F13" s="12" t="s">
        <v>150</v>
      </c>
      <c r="G13" s="12" t="s">
        <v>151</v>
      </c>
      <c r="H13" s="12" t="s">
        <v>152</v>
      </c>
      <c r="I13" s="12" t="n">
        <v>1978</v>
      </c>
      <c r="J13" s="12" t="n">
        <v>1981</v>
      </c>
      <c r="K13" s="12" t="s">
        <v>153</v>
      </c>
      <c r="L13" s="12" t="s">
        <v>60</v>
      </c>
      <c r="M13" s="12" t="s">
        <v>154</v>
      </c>
      <c r="N13" s="12" t="s">
        <v>61</v>
      </c>
      <c r="O13" s="13" t="s">
        <v>155</v>
      </c>
      <c r="P13" s="12" t="s">
        <v>156</v>
      </c>
    </row>
    <row r="14" customFormat="false" ht="23.25" hidden="false" customHeight="true" outlineLevel="0" collapsed="false">
      <c r="A14" s="14" t="s">
        <v>157</v>
      </c>
      <c r="B14" s="14" t="s">
        <v>158</v>
      </c>
      <c r="C14" s="14" t="s">
        <v>159</v>
      </c>
      <c r="D14" s="14" t="s">
        <v>160</v>
      </c>
      <c r="E14" s="14"/>
      <c r="F14" s="14" t="s">
        <v>161</v>
      </c>
      <c r="G14" s="14"/>
      <c r="H14" s="14" t="s">
        <v>162</v>
      </c>
      <c r="I14" s="14"/>
      <c r="J14" s="14" t="n">
        <v>2015</v>
      </c>
      <c r="K14" s="14" t="s">
        <v>163</v>
      </c>
      <c r="L14" s="14"/>
      <c r="M14" s="14" t="s">
        <v>164</v>
      </c>
      <c r="N14" s="14" t="s">
        <v>61</v>
      </c>
      <c r="O14" s="15" t="s">
        <v>165</v>
      </c>
      <c r="P14" s="14" t="s">
        <v>166</v>
      </c>
    </row>
    <row r="15" customFormat="false" ht="23.25" hidden="false" customHeight="true" outlineLevel="0" collapsed="false">
      <c r="A15" s="14" t="s">
        <v>167</v>
      </c>
      <c r="B15" s="14"/>
      <c r="C15" s="14" t="s">
        <v>168</v>
      </c>
      <c r="D15" s="14" t="s">
        <v>169</v>
      </c>
      <c r="E15" s="14"/>
      <c r="F15" s="14" t="s">
        <v>170</v>
      </c>
      <c r="G15" s="14"/>
      <c r="H15" s="14" t="s">
        <v>171</v>
      </c>
      <c r="I15" s="14"/>
      <c r="J15" s="14" t="n">
        <v>2010</v>
      </c>
      <c r="K15" s="14" t="s">
        <v>172</v>
      </c>
      <c r="L15" s="14"/>
      <c r="M15" s="14" t="s">
        <v>164</v>
      </c>
      <c r="N15" s="14" t="s">
        <v>173</v>
      </c>
      <c r="O15" s="14"/>
      <c r="P15" s="14" t="s">
        <v>174</v>
      </c>
    </row>
    <row r="16" customFormat="false" ht="23.25" hidden="false" customHeight="true" outlineLevel="0" collapsed="false">
      <c r="A16" s="14" t="s">
        <v>175</v>
      </c>
      <c r="B16" s="14"/>
      <c r="C16" s="14" t="s">
        <v>168</v>
      </c>
      <c r="D16" s="14" t="s">
        <v>176</v>
      </c>
      <c r="E16" s="14"/>
      <c r="F16" s="14" t="s">
        <v>124</v>
      </c>
      <c r="G16" s="14"/>
      <c r="H16" s="14" t="s">
        <v>177</v>
      </c>
      <c r="I16" s="14"/>
      <c r="J16" s="14" t="n">
        <v>2018</v>
      </c>
      <c r="K16" s="14" t="s">
        <v>172</v>
      </c>
      <c r="L16" s="14"/>
      <c r="M16" s="14" t="s">
        <v>164</v>
      </c>
      <c r="N16" s="14" t="s">
        <v>173</v>
      </c>
      <c r="O16" s="14"/>
      <c r="P16" s="14" t="s">
        <v>174</v>
      </c>
    </row>
    <row r="17" customFormat="false" ht="23.25" hidden="false" customHeight="true" outlineLevel="0" collapsed="false">
      <c r="A17" s="14" t="s">
        <v>178</v>
      </c>
      <c r="B17" s="14"/>
      <c r="C17" s="14" t="s">
        <v>168</v>
      </c>
      <c r="D17" s="14" t="s">
        <v>179</v>
      </c>
      <c r="E17" s="14"/>
      <c r="F17" s="14" t="s">
        <v>180</v>
      </c>
      <c r="G17" s="14"/>
      <c r="H17" s="14" t="s">
        <v>181</v>
      </c>
      <c r="I17" s="14"/>
      <c r="J17" s="14" t="n">
        <v>2024</v>
      </c>
      <c r="K17" s="14" t="s">
        <v>182</v>
      </c>
      <c r="L17" s="14"/>
      <c r="M17" s="14" t="s">
        <v>164</v>
      </c>
      <c r="N17" s="14" t="s">
        <v>173</v>
      </c>
      <c r="O17" s="14"/>
      <c r="P17" s="14" t="s">
        <v>174</v>
      </c>
    </row>
    <row r="18" customFormat="false" ht="23.25" hidden="false" customHeight="true" outlineLevel="0" collapsed="false">
      <c r="A18" s="14" t="s">
        <v>183</v>
      </c>
      <c r="B18" s="14"/>
      <c r="C18" s="14" t="s">
        <v>168</v>
      </c>
      <c r="D18" s="14" t="s">
        <v>184</v>
      </c>
      <c r="E18" s="14"/>
      <c r="F18" s="14" t="s">
        <v>185</v>
      </c>
      <c r="G18" s="14"/>
      <c r="H18" s="14" t="s">
        <v>118</v>
      </c>
      <c r="I18" s="14"/>
      <c r="J18" s="14"/>
      <c r="K18" s="14" t="s">
        <v>186</v>
      </c>
      <c r="L18" s="14"/>
      <c r="M18" s="14" t="s">
        <v>187</v>
      </c>
      <c r="N18" s="14" t="s">
        <v>173</v>
      </c>
      <c r="O18" s="14"/>
      <c r="P18" s="14" t="s">
        <v>188</v>
      </c>
    </row>
    <row r="19" customFormat="false" ht="23.25" hidden="false" customHeight="true" outlineLevel="0" collapsed="false">
      <c r="A19" s="14" t="s">
        <v>189</v>
      </c>
      <c r="B19" s="14"/>
      <c r="C19" s="14" t="s">
        <v>168</v>
      </c>
      <c r="D19" s="14" t="s">
        <v>190</v>
      </c>
      <c r="E19" s="14"/>
      <c r="F19" s="14" t="s">
        <v>191</v>
      </c>
      <c r="G19" s="14"/>
      <c r="H19" s="14" t="s">
        <v>192</v>
      </c>
      <c r="I19" s="14"/>
      <c r="J19" s="14" t="n">
        <v>2020</v>
      </c>
      <c r="K19" s="14" t="s">
        <v>193</v>
      </c>
      <c r="L19" s="14" t="s">
        <v>194</v>
      </c>
      <c r="M19" s="14" t="s">
        <v>195</v>
      </c>
      <c r="N19" s="14" t="s">
        <v>173</v>
      </c>
      <c r="O19" s="14"/>
      <c r="P19" s="14" t="s">
        <v>196</v>
      </c>
    </row>
    <row r="20" customFormat="false" ht="23.25" hidden="false" customHeight="true" outlineLevel="0" collapsed="false">
      <c r="A20" s="14" t="s">
        <v>197</v>
      </c>
      <c r="B20" s="14"/>
      <c r="C20" s="14" t="s">
        <v>168</v>
      </c>
      <c r="D20" s="14" t="s">
        <v>198</v>
      </c>
      <c r="E20" s="14"/>
      <c r="F20" s="14" t="s">
        <v>199</v>
      </c>
      <c r="G20" s="14"/>
      <c r="H20" s="14" t="s">
        <v>200</v>
      </c>
      <c r="I20" s="14"/>
      <c r="J20" s="14" t="n">
        <v>2015</v>
      </c>
      <c r="K20" s="14" t="s">
        <v>201</v>
      </c>
      <c r="L20" s="14" t="s">
        <v>194</v>
      </c>
      <c r="M20" s="14" t="s">
        <v>195</v>
      </c>
      <c r="N20" s="14" t="s">
        <v>173</v>
      </c>
      <c r="O20" s="14"/>
      <c r="P20" s="14" t="s">
        <v>196</v>
      </c>
    </row>
    <row r="21" customFormat="false" ht="23.25" hidden="false" customHeight="true" outlineLevel="0" collapsed="false">
      <c r="A21" s="14" t="s">
        <v>202</v>
      </c>
      <c r="B21" s="14"/>
      <c r="C21" s="14" t="s">
        <v>168</v>
      </c>
      <c r="D21" s="14" t="s">
        <v>203</v>
      </c>
      <c r="E21" s="14"/>
      <c r="F21" s="14" t="s">
        <v>204</v>
      </c>
      <c r="G21" s="14"/>
      <c r="H21" s="14" t="s">
        <v>205</v>
      </c>
      <c r="I21" s="14"/>
      <c r="J21" s="14" t="n">
        <v>2018</v>
      </c>
      <c r="K21" s="14" t="s">
        <v>206</v>
      </c>
      <c r="L21" s="14" t="s">
        <v>207</v>
      </c>
      <c r="M21" s="14" t="s">
        <v>195</v>
      </c>
      <c r="N21" s="14" t="s">
        <v>173</v>
      </c>
      <c r="O21" s="14"/>
      <c r="P21" s="14" t="s">
        <v>208</v>
      </c>
    </row>
    <row r="22" customFormat="false" ht="15" hidden="false" customHeight="true" outlineLevel="0" collapsed="false">
      <c r="A22" s="16" t="s">
        <v>209</v>
      </c>
      <c r="B22" s="16"/>
      <c r="C22" s="16" t="s">
        <v>210</v>
      </c>
      <c r="D22" s="16" t="s">
        <v>211</v>
      </c>
      <c r="E22" s="17" t="s">
        <v>212</v>
      </c>
      <c r="F22" s="16" t="s">
        <v>43</v>
      </c>
      <c r="G22" s="16" t="s">
        <v>213</v>
      </c>
      <c r="H22" s="16" t="s">
        <v>88</v>
      </c>
      <c r="I22" s="16" t="n">
        <v>1998</v>
      </c>
      <c r="J22" s="16" t="n">
        <v>2005</v>
      </c>
      <c r="K22" s="16" t="s">
        <v>214</v>
      </c>
      <c r="L22" s="16" t="s">
        <v>60</v>
      </c>
      <c r="M22" s="16" t="s">
        <v>215</v>
      </c>
      <c r="N22" s="16" t="s">
        <v>216</v>
      </c>
      <c r="O22" s="18" t="s">
        <v>217</v>
      </c>
      <c r="P22" s="16"/>
    </row>
    <row r="23" customFormat="false" ht="15" hidden="false" customHeight="true" outlineLevel="0" collapsed="false">
      <c r="A23" s="16" t="s">
        <v>218</v>
      </c>
      <c r="B23" s="16"/>
      <c r="C23" s="16" t="s">
        <v>210</v>
      </c>
      <c r="D23" s="16" t="s">
        <v>219</v>
      </c>
      <c r="E23" s="17" t="s">
        <v>220</v>
      </c>
      <c r="F23" s="16" t="s">
        <v>43</v>
      </c>
      <c r="G23" s="16" t="s">
        <v>221</v>
      </c>
      <c r="H23" s="16" t="s">
        <v>88</v>
      </c>
      <c r="I23" s="16" t="n">
        <v>2002</v>
      </c>
      <c r="J23" s="16" t="n">
        <v>2010</v>
      </c>
      <c r="K23" s="16" t="s">
        <v>214</v>
      </c>
      <c r="L23" s="16" t="s">
        <v>60</v>
      </c>
      <c r="M23" s="16" t="s">
        <v>215</v>
      </c>
      <c r="N23" s="16" t="s">
        <v>216</v>
      </c>
      <c r="O23" s="18" t="s">
        <v>222</v>
      </c>
      <c r="P23" s="16"/>
    </row>
    <row r="24" customFormat="false" ht="15" hidden="false" customHeight="true" outlineLevel="0" collapsed="false">
      <c r="A24" s="16" t="s">
        <v>223</v>
      </c>
      <c r="B24" s="16"/>
      <c r="C24" s="16" t="s">
        <v>210</v>
      </c>
      <c r="D24" s="16" t="s">
        <v>224</v>
      </c>
      <c r="E24" s="17" t="s">
        <v>225</v>
      </c>
      <c r="F24" s="16" t="s">
        <v>43</v>
      </c>
      <c r="G24" s="16" t="s">
        <v>226</v>
      </c>
      <c r="H24" s="16" t="s">
        <v>227</v>
      </c>
      <c r="I24" s="16" t="n">
        <v>1996</v>
      </c>
      <c r="J24" s="16" t="n">
        <v>2014</v>
      </c>
      <c r="K24" s="16" t="s">
        <v>228</v>
      </c>
      <c r="L24" s="16" t="s">
        <v>60</v>
      </c>
      <c r="M24" s="16" t="s">
        <v>215</v>
      </c>
      <c r="N24" s="16" t="s">
        <v>216</v>
      </c>
      <c r="O24" s="18" t="s">
        <v>229</v>
      </c>
      <c r="P24" s="16" t="s">
        <v>230</v>
      </c>
    </row>
    <row r="25" customFormat="false" ht="15" hidden="false" customHeight="true" outlineLevel="0" collapsed="false">
      <c r="A25" s="16" t="s">
        <v>231</v>
      </c>
      <c r="B25" s="16"/>
      <c r="C25" s="16" t="s">
        <v>210</v>
      </c>
      <c r="D25" s="16" t="s">
        <v>232</v>
      </c>
      <c r="E25" s="17" t="s">
        <v>233</v>
      </c>
      <c r="F25" s="16" t="s">
        <v>43</v>
      </c>
      <c r="G25" s="16" t="s">
        <v>234</v>
      </c>
      <c r="H25" s="16" t="s">
        <v>235</v>
      </c>
      <c r="I25" s="16" t="n">
        <v>2004</v>
      </c>
      <c r="J25" s="16" t="n">
        <v>2013</v>
      </c>
      <c r="K25" s="16" t="s">
        <v>89</v>
      </c>
      <c r="L25" s="16" t="s">
        <v>236</v>
      </c>
      <c r="M25" s="16" t="s">
        <v>215</v>
      </c>
      <c r="N25" s="16" t="s">
        <v>216</v>
      </c>
      <c r="O25" s="18" t="s">
        <v>237</v>
      </c>
      <c r="P25" s="16" t="s">
        <v>238</v>
      </c>
    </row>
    <row r="26" customFormat="false" ht="15" hidden="false" customHeight="true" outlineLevel="0" collapsed="false">
      <c r="A26" s="16" t="s">
        <v>239</v>
      </c>
      <c r="B26" s="16"/>
      <c r="C26" s="16" t="s">
        <v>210</v>
      </c>
      <c r="D26" s="16" t="s">
        <v>240</v>
      </c>
      <c r="E26" s="17" t="s">
        <v>241</v>
      </c>
      <c r="F26" s="16" t="s">
        <v>43</v>
      </c>
      <c r="G26" s="16" t="s">
        <v>242</v>
      </c>
      <c r="H26" s="16" t="s">
        <v>152</v>
      </c>
      <c r="I26" s="16"/>
      <c r="J26" s="16" t="n">
        <v>2013</v>
      </c>
      <c r="K26" s="16" t="s">
        <v>59</v>
      </c>
      <c r="L26" s="16" t="s">
        <v>60</v>
      </c>
      <c r="M26" s="16" t="s">
        <v>215</v>
      </c>
      <c r="N26" s="16" t="s">
        <v>216</v>
      </c>
      <c r="O26" s="18" t="s">
        <v>243</v>
      </c>
      <c r="P26" s="16" t="s">
        <v>244</v>
      </c>
    </row>
    <row r="27" customFormat="false" ht="23.25" hidden="false" customHeight="true" outlineLevel="0" collapsed="false">
      <c r="A27" s="16" t="s">
        <v>245</v>
      </c>
      <c r="B27" s="16"/>
      <c r="C27" s="16" t="s">
        <v>210</v>
      </c>
      <c r="D27" s="16" t="s">
        <v>246</v>
      </c>
      <c r="E27" s="17" t="s">
        <v>247</v>
      </c>
      <c r="F27" s="16" t="s">
        <v>43</v>
      </c>
      <c r="G27" s="16" t="s">
        <v>248</v>
      </c>
      <c r="H27" s="16" t="s">
        <v>88</v>
      </c>
      <c r="I27" s="16"/>
      <c r="J27" s="16" t="n">
        <v>2000</v>
      </c>
      <c r="K27" s="16" t="s">
        <v>249</v>
      </c>
      <c r="L27" s="16" t="s">
        <v>60</v>
      </c>
      <c r="M27" s="16" t="s">
        <v>195</v>
      </c>
      <c r="N27" s="16" t="s">
        <v>216</v>
      </c>
      <c r="O27" s="18" t="s">
        <v>250</v>
      </c>
      <c r="P27" s="16" t="s">
        <v>251</v>
      </c>
    </row>
    <row r="28" customFormat="false" ht="15" hidden="false" customHeight="true" outlineLevel="0" collapsed="false">
      <c r="A28" s="16" t="s">
        <v>252</v>
      </c>
      <c r="B28" s="16"/>
      <c r="C28" s="16" t="s">
        <v>210</v>
      </c>
      <c r="D28" s="16" t="s">
        <v>253</v>
      </c>
      <c r="E28" s="17" t="s">
        <v>254</v>
      </c>
      <c r="F28" s="16" t="s">
        <v>43</v>
      </c>
      <c r="G28" s="16" t="s">
        <v>255</v>
      </c>
      <c r="H28" s="16" t="s">
        <v>256</v>
      </c>
      <c r="I28" s="16" t="n">
        <v>1988</v>
      </c>
      <c r="J28" s="16" t="n">
        <v>2014</v>
      </c>
      <c r="K28" s="16" t="s">
        <v>257</v>
      </c>
      <c r="L28" s="16" t="s">
        <v>60</v>
      </c>
      <c r="M28" s="16" t="s">
        <v>215</v>
      </c>
      <c r="N28" s="16" t="s">
        <v>216</v>
      </c>
      <c r="O28" s="18" t="s">
        <v>258</v>
      </c>
      <c r="P28" s="16" t="s">
        <v>259</v>
      </c>
    </row>
    <row r="29" customFormat="false" ht="15" hidden="false" customHeight="true" outlineLevel="0" collapsed="false">
      <c r="A29" s="16" t="s">
        <v>260</v>
      </c>
      <c r="B29" s="16"/>
      <c r="C29" s="16" t="s">
        <v>210</v>
      </c>
      <c r="D29" s="16" t="s">
        <v>261</v>
      </c>
      <c r="E29" s="17" t="s">
        <v>262</v>
      </c>
      <c r="F29" s="16" t="s">
        <v>43</v>
      </c>
      <c r="G29" s="16"/>
      <c r="H29" s="16" t="s">
        <v>88</v>
      </c>
      <c r="I29" s="16"/>
      <c r="J29" s="16" t="n">
        <v>2016</v>
      </c>
      <c r="K29" s="16" t="s">
        <v>263</v>
      </c>
      <c r="L29" s="16" t="s">
        <v>60</v>
      </c>
      <c r="M29" s="16" t="s">
        <v>195</v>
      </c>
      <c r="N29" s="16" t="s">
        <v>216</v>
      </c>
      <c r="O29" s="18" t="s">
        <v>264</v>
      </c>
      <c r="P29" s="16"/>
    </row>
    <row r="30" customFormat="false" ht="15" hidden="false" customHeight="true" outlineLevel="0" collapsed="false">
      <c r="A30" s="16" t="s">
        <v>265</v>
      </c>
      <c r="B30" s="16"/>
      <c r="C30" s="16" t="s">
        <v>210</v>
      </c>
      <c r="D30" s="16" t="s">
        <v>266</v>
      </c>
      <c r="E30" s="17" t="s">
        <v>267</v>
      </c>
      <c r="F30" s="16" t="s">
        <v>43</v>
      </c>
      <c r="G30" s="16" t="s">
        <v>268</v>
      </c>
      <c r="H30" s="16" t="s">
        <v>269</v>
      </c>
      <c r="I30" s="16"/>
      <c r="J30" s="16" t="n">
        <v>2017</v>
      </c>
      <c r="K30" s="16" t="s">
        <v>270</v>
      </c>
      <c r="L30" s="16" t="s">
        <v>60</v>
      </c>
      <c r="M30" s="16" t="s">
        <v>195</v>
      </c>
      <c r="N30" s="16" t="s">
        <v>216</v>
      </c>
      <c r="O30" s="18" t="s">
        <v>271</v>
      </c>
      <c r="P30" s="16"/>
    </row>
    <row r="31" customFormat="false" ht="15" hidden="false" customHeight="true" outlineLevel="0" collapsed="false">
      <c r="A31" s="16" t="s">
        <v>272</v>
      </c>
      <c r="B31" s="16"/>
      <c r="C31" s="16" t="s">
        <v>210</v>
      </c>
      <c r="D31" s="16" t="s">
        <v>273</v>
      </c>
      <c r="E31" s="17" t="s">
        <v>274</v>
      </c>
      <c r="F31" s="16" t="s">
        <v>43</v>
      </c>
      <c r="G31" s="16"/>
      <c r="H31" s="16" t="s">
        <v>269</v>
      </c>
      <c r="I31" s="16"/>
      <c r="J31" s="16"/>
      <c r="K31" s="16" t="s">
        <v>195</v>
      </c>
      <c r="L31" s="16"/>
      <c r="M31" s="16" t="s">
        <v>195</v>
      </c>
      <c r="N31" s="16" t="s">
        <v>216</v>
      </c>
      <c r="O31" s="18" t="s">
        <v>275</v>
      </c>
      <c r="P31" s="16"/>
    </row>
    <row r="32" customFormat="false" ht="23.25" hidden="false" customHeight="true" outlineLevel="0" collapsed="false">
      <c r="A32" s="16" t="s">
        <v>276</v>
      </c>
      <c r="B32" s="16"/>
      <c r="C32" s="16" t="s">
        <v>210</v>
      </c>
      <c r="D32" s="16" t="s">
        <v>277</v>
      </c>
      <c r="E32" s="17" t="s">
        <v>278</v>
      </c>
      <c r="F32" s="16" t="s">
        <v>43</v>
      </c>
      <c r="G32" s="16" t="s">
        <v>279</v>
      </c>
      <c r="H32" s="16" t="s">
        <v>88</v>
      </c>
      <c r="I32" s="16"/>
      <c r="J32" s="16"/>
      <c r="K32" s="16" t="s">
        <v>270</v>
      </c>
      <c r="L32" s="16"/>
      <c r="M32" s="16" t="s">
        <v>187</v>
      </c>
      <c r="N32" s="16" t="s">
        <v>216</v>
      </c>
      <c r="O32" s="18" t="s">
        <v>280</v>
      </c>
      <c r="P32" s="16" t="s">
        <v>281</v>
      </c>
    </row>
    <row r="33" customFormat="false" ht="15" hidden="false" customHeight="true" outlineLevel="0" collapsed="false">
      <c r="A33" s="16" t="s">
        <v>282</v>
      </c>
      <c r="B33" s="16"/>
      <c r="C33" s="16" t="s">
        <v>210</v>
      </c>
      <c r="D33" s="16" t="s">
        <v>283</v>
      </c>
      <c r="E33" s="17" t="s">
        <v>284</v>
      </c>
      <c r="F33" s="16" t="s">
        <v>43</v>
      </c>
      <c r="G33" s="16" t="s">
        <v>248</v>
      </c>
      <c r="H33" s="16" t="s">
        <v>285</v>
      </c>
      <c r="I33" s="16"/>
      <c r="J33" s="16"/>
      <c r="K33" s="16" t="s">
        <v>286</v>
      </c>
      <c r="L33" s="16"/>
      <c r="M33" s="16" t="s">
        <v>195</v>
      </c>
      <c r="N33" s="16" t="s">
        <v>216</v>
      </c>
      <c r="O33" s="18" t="s">
        <v>287</v>
      </c>
      <c r="P33" s="16"/>
    </row>
    <row r="34" customFormat="false" ht="15" hidden="false" customHeight="true" outlineLevel="0" collapsed="false">
      <c r="A34" s="16" t="s">
        <v>288</v>
      </c>
      <c r="B34" s="16"/>
      <c r="C34" s="16" t="s">
        <v>210</v>
      </c>
      <c r="D34" s="16" t="s">
        <v>289</v>
      </c>
      <c r="E34" s="17" t="s">
        <v>290</v>
      </c>
      <c r="F34" s="16" t="s">
        <v>43</v>
      </c>
      <c r="G34" s="16"/>
      <c r="H34" s="16" t="s">
        <v>291</v>
      </c>
      <c r="I34" s="16"/>
      <c r="J34" s="16"/>
      <c r="K34" s="16" t="s">
        <v>195</v>
      </c>
      <c r="L34" s="16"/>
      <c r="M34" s="16" t="s">
        <v>195</v>
      </c>
      <c r="N34" s="16" t="s">
        <v>216</v>
      </c>
      <c r="O34" s="18" t="s">
        <v>292</v>
      </c>
      <c r="P34" s="16"/>
    </row>
    <row r="35" customFormat="false" ht="15" hidden="false" customHeight="true" outlineLevel="0" collapsed="false">
      <c r="A35" s="16" t="s">
        <v>293</v>
      </c>
      <c r="B35" s="16"/>
      <c r="C35" s="16" t="s">
        <v>210</v>
      </c>
      <c r="D35" s="16" t="s">
        <v>294</v>
      </c>
      <c r="E35" s="17" t="s">
        <v>295</v>
      </c>
      <c r="F35" s="16" t="s">
        <v>43</v>
      </c>
      <c r="G35" s="16"/>
      <c r="H35" s="16" t="s">
        <v>227</v>
      </c>
      <c r="I35" s="16"/>
      <c r="J35" s="16"/>
      <c r="K35" s="16" t="s">
        <v>296</v>
      </c>
      <c r="L35" s="16"/>
      <c r="M35" s="16" t="s">
        <v>195</v>
      </c>
      <c r="N35" s="16" t="s">
        <v>216</v>
      </c>
      <c r="O35" s="18" t="s">
        <v>297</v>
      </c>
      <c r="P35" s="16" t="s">
        <v>298</v>
      </c>
    </row>
    <row r="36" customFormat="false" ht="23.25" hidden="false" customHeight="true" outlineLevel="0" collapsed="false">
      <c r="A36" s="16" t="s">
        <v>299</v>
      </c>
      <c r="B36" s="16"/>
      <c r="C36" s="16" t="s">
        <v>210</v>
      </c>
      <c r="D36" s="16" t="s">
        <v>300</v>
      </c>
      <c r="E36" s="17" t="s">
        <v>301</v>
      </c>
      <c r="F36" s="16" t="s">
        <v>43</v>
      </c>
      <c r="G36" s="16"/>
      <c r="H36" s="16" t="s">
        <v>227</v>
      </c>
      <c r="I36" s="16" t="n">
        <v>2015</v>
      </c>
      <c r="J36" s="16" t="n">
        <v>2017</v>
      </c>
      <c r="K36" s="16" t="s">
        <v>302</v>
      </c>
      <c r="L36" s="16"/>
      <c r="M36" s="16" t="s">
        <v>187</v>
      </c>
      <c r="N36" s="16" t="s">
        <v>216</v>
      </c>
      <c r="O36" s="18" t="s">
        <v>303</v>
      </c>
      <c r="P36" s="16" t="s">
        <v>304</v>
      </c>
    </row>
    <row r="37" customFormat="false" ht="15" hidden="false" customHeight="true" outlineLevel="0" collapsed="false">
      <c r="A37" s="16" t="s">
        <v>305</v>
      </c>
      <c r="B37" s="16"/>
      <c r="C37" s="16" t="s">
        <v>210</v>
      </c>
      <c r="D37" s="16" t="s">
        <v>306</v>
      </c>
      <c r="E37" s="17" t="s">
        <v>307</v>
      </c>
      <c r="F37" s="16" t="s">
        <v>43</v>
      </c>
      <c r="G37" s="16"/>
      <c r="H37" s="16" t="s">
        <v>308</v>
      </c>
      <c r="I37" s="16"/>
      <c r="J37" s="16" t="n">
        <v>2013</v>
      </c>
      <c r="K37" s="16" t="s">
        <v>309</v>
      </c>
      <c r="L37" s="16" t="s">
        <v>60</v>
      </c>
      <c r="M37" s="16" t="s">
        <v>195</v>
      </c>
      <c r="N37" s="16" t="s">
        <v>216</v>
      </c>
      <c r="O37" s="18" t="s">
        <v>310</v>
      </c>
      <c r="P37" s="16"/>
    </row>
    <row r="38" customFormat="false" ht="23.25" hidden="false" customHeight="true" outlineLevel="0" collapsed="false">
      <c r="A38" s="16" t="s">
        <v>311</v>
      </c>
      <c r="B38" s="16"/>
      <c r="C38" s="16" t="s">
        <v>210</v>
      </c>
      <c r="D38" s="16" t="s">
        <v>312</v>
      </c>
      <c r="E38" s="17" t="s">
        <v>313</v>
      </c>
      <c r="F38" s="16" t="s">
        <v>43</v>
      </c>
      <c r="G38" s="16" t="s">
        <v>314</v>
      </c>
      <c r="H38" s="16" t="s">
        <v>315</v>
      </c>
      <c r="I38" s="16"/>
      <c r="J38" s="16"/>
      <c r="K38" s="16" t="s">
        <v>316</v>
      </c>
      <c r="L38" s="16"/>
      <c r="M38" s="16" t="s">
        <v>195</v>
      </c>
      <c r="N38" s="16" t="s">
        <v>216</v>
      </c>
      <c r="O38" s="18" t="s">
        <v>317</v>
      </c>
      <c r="P38" s="16" t="s">
        <v>318</v>
      </c>
    </row>
    <row r="39" customFormat="false" ht="15" hidden="false" customHeight="true" outlineLevel="0" collapsed="false">
      <c r="A39" s="16" t="s">
        <v>319</v>
      </c>
      <c r="B39" s="16"/>
      <c r="C39" s="16" t="s">
        <v>210</v>
      </c>
      <c r="D39" s="16" t="s">
        <v>320</v>
      </c>
      <c r="E39" s="17" t="s">
        <v>321</v>
      </c>
      <c r="F39" s="16" t="s">
        <v>43</v>
      </c>
      <c r="G39" s="16" t="s">
        <v>322</v>
      </c>
      <c r="H39" s="16" t="s">
        <v>88</v>
      </c>
      <c r="I39" s="16"/>
      <c r="J39" s="16"/>
      <c r="K39" s="16" t="s">
        <v>195</v>
      </c>
      <c r="L39" s="16"/>
      <c r="M39" s="16" t="s">
        <v>195</v>
      </c>
      <c r="N39" s="16" t="s">
        <v>216</v>
      </c>
      <c r="O39" s="18" t="s">
        <v>323</v>
      </c>
      <c r="P39" s="16"/>
    </row>
    <row r="40" customFormat="false" ht="23.25" hidden="false" customHeight="true" outlineLevel="0" collapsed="false">
      <c r="A40" s="16" t="s">
        <v>324</v>
      </c>
      <c r="B40" s="16"/>
      <c r="C40" s="16" t="s">
        <v>210</v>
      </c>
      <c r="D40" s="16" t="s">
        <v>325</v>
      </c>
      <c r="E40" s="17" t="s">
        <v>326</v>
      </c>
      <c r="F40" s="16" t="s">
        <v>43</v>
      </c>
      <c r="G40" s="16" t="s">
        <v>327</v>
      </c>
      <c r="H40" s="16" t="s">
        <v>328</v>
      </c>
      <c r="I40" s="16"/>
      <c r="J40" s="16" t="n">
        <v>2020</v>
      </c>
      <c r="K40" s="16" t="s">
        <v>59</v>
      </c>
      <c r="L40" s="16" t="s">
        <v>60</v>
      </c>
      <c r="M40" s="16" t="s">
        <v>215</v>
      </c>
      <c r="N40" s="16" t="s">
        <v>216</v>
      </c>
      <c r="O40" s="18" t="s">
        <v>329</v>
      </c>
      <c r="P40" s="16" t="s">
        <v>330</v>
      </c>
    </row>
    <row r="41" customFormat="false" ht="15" hidden="false" customHeight="true" outlineLevel="0" collapsed="false">
      <c r="A41" s="16" t="s">
        <v>331</v>
      </c>
      <c r="B41" s="16"/>
      <c r="C41" s="16" t="s">
        <v>210</v>
      </c>
      <c r="D41" s="16" t="s">
        <v>332</v>
      </c>
      <c r="E41" s="17" t="s">
        <v>333</v>
      </c>
      <c r="F41" s="16" t="s">
        <v>43</v>
      </c>
      <c r="G41" s="16" t="s">
        <v>221</v>
      </c>
      <c r="H41" s="16" t="s">
        <v>88</v>
      </c>
      <c r="I41" s="16"/>
      <c r="J41" s="16" t="n">
        <v>2013</v>
      </c>
      <c r="K41" s="16" t="s">
        <v>334</v>
      </c>
      <c r="L41" s="16"/>
      <c r="M41" s="16" t="s">
        <v>187</v>
      </c>
      <c r="N41" s="16" t="s">
        <v>216</v>
      </c>
      <c r="O41" s="18" t="s">
        <v>335</v>
      </c>
      <c r="P41" s="16" t="s">
        <v>336</v>
      </c>
    </row>
    <row r="42" customFormat="false" ht="15" hidden="false" customHeight="true" outlineLevel="0" collapsed="false">
      <c r="A42" s="16" t="s">
        <v>337</v>
      </c>
      <c r="B42" s="16"/>
      <c r="C42" s="16" t="s">
        <v>210</v>
      </c>
      <c r="D42" s="16" t="s">
        <v>338</v>
      </c>
      <c r="E42" s="17" t="s">
        <v>339</v>
      </c>
      <c r="F42" s="16" t="s">
        <v>43</v>
      </c>
      <c r="G42" s="16" t="s">
        <v>248</v>
      </c>
      <c r="H42" s="16" t="s">
        <v>88</v>
      </c>
      <c r="I42" s="16"/>
      <c r="J42" s="16"/>
      <c r="K42" s="16" t="s">
        <v>195</v>
      </c>
      <c r="L42" s="16"/>
      <c r="M42" s="16" t="s">
        <v>195</v>
      </c>
      <c r="N42" s="16" t="s">
        <v>216</v>
      </c>
      <c r="O42" s="18" t="s">
        <v>340</v>
      </c>
      <c r="P42" s="16"/>
    </row>
    <row r="43" customFormat="false" ht="15" hidden="false" customHeight="true" outlineLevel="0" collapsed="false">
      <c r="A43" s="16" t="s">
        <v>341</v>
      </c>
      <c r="B43" s="16"/>
      <c r="C43" s="16" t="s">
        <v>210</v>
      </c>
      <c r="D43" s="16" t="s">
        <v>342</v>
      </c>
      <c r="E43" s="17" t="s">
        <v>343</v>
      </c>
      <c r="F43" s="16" t="s">
        <v>43</v>
      </c>
      <c r="G43" s="16" t="s">
        <v>344</v>
      </c>
      <c r="H43" s="16" t="s">
        <v>88</v>
      </c>
      <c r="I43" s="16"/>
      <c r="J43" s="16" t="n">
        <v>2016</v>
      </c>
      <c r="K43" s="16" t="s">
        <v>345</v>
      </c>
      <c r="L43" s="16" t="s">
        <v>60</v>
      </c>
      <c r="M43" s="16" t="s">
        <v>215</v>
      </c>
      <c r="N43" s="16" t="s">
        <v>216</v>
      </c>
      <c r="O43" s="18" t="s">
        <v>346</v>
      </c>
      <c r="P43" s="16"/>
    </row>
    <row r="44" customFormat="false" ht="15" hidden="false" customHeight="true" outlineLevel="0" collapsed="false">
      <c r="A44" s="16" t="s">
        <v>347</v>
      </c>
      <c r="B44" s="16"/>
      <c r="C44" s="16" t="s">
        <v>210</v>
      </c>
      <c r="D44" s="16" t="s">
        <v>348</v>
      </c>
      <c r="E44" s="17" t="s">
        <v>349</v>
      </c>
      <c r="F44" s="16" t="s">
        <v>43</v>
      </c>
      <c r="G44" s="16"/>
      <c r="H44" s="16" t="s">
        <v>88</v>
      </c>
      <c r="I44" s="16"/>
      <c r="J44" s="16"/>
      <c r="K44" s="16" t="s">
        <v>195</v>
      </c>
      <c r="L44" s="16"/>
      <c r="M44" s="16" t="s">
        <v>195</v>
      </c>
      <c r="N44" s="16" t="s">
        <v>216</v>
      </c>
      <c r="O44" s="18" t="s">
        <v>350</v>
      </c>
      <c r="P44" s="16"/>
    </row>
    <row r="45" customFormat="false" ht="15" hidden="false" customHeight="true" outlineLevel="0" collapsed="false">
      <c r="A45" s="16" t="s">
        <v>351</v>
      </c>
      <c r="B45" s="16"/>
      <c r="C45" s="16" t="s">
        <v>210</v>
      </c>
      <c r="D45" s="16" t="s">
        <v>352</v>
      </c>
      <c r="E45" s="17" t="s">
        <v>353</v>
      </c>
      <c r="F45" s="16" t="s">
        <v>43</v>
      </c>
      <c r="G45" s="16" t="s">
        <v>344</v>
      </c>
      <c r="H45" s="16" t="s">
        <v>88</v>
      </c>
      <c r="I45" s="16"/>
      <c r="J45" s="16" t="n">
        <v>2013</v>
      </c>
      <c r="K45" s="16" t="s">
        <v>354</v>
      </c>
      <c r="L45" s="16" t="s">
        <v>60</v>
      </c>
      <c r="M45" s="16" t="s">
        <v>215</v>
      </c>
      <c r="N45" s="16" t="s">
        <v>216</v>
      </c>
      <c r="O45" s="18" t="s">
        <v>355</v>
      </c>
      <c r="P45" s="16" t="s">
        <v>356</v>
      </c>
    </row>
    <row r="46" customFormat="false" ht="23.25" hidden="false" customHeight="true" outlineLevel="0" collapsed="false">
      <c r="A46" s="16" t="s">
        <v>357</v>
      </c>
      <c r="B46" s="16"/>
      <c r="C46" s="16" t="s">
        <v>210</v>
      </c>
      <c r="D46" s="16" t="s">
        <v>358</v>
      </c>
      <c r="E46" s="17" t="s">
        <v>359</v>
      </c>
      <c r="F46" s="16" t="s">
        <v>43</v>
      </c>
      <c r="G46" s="16" t="s">
        <v>221</v>
      </c>
      <c r="H46" s="16" t="s">
        <v>88</v>
      </c>
      <c r="I46" s="16"/>
      <c r="J46" s="16" t="n">
        <v>2022</v>
      </c>
      <c r="K46" s="16" t="s">
        <v>360</v>
      </c>
      <c r="L46" s="16" t="s">
        <v>60</v>
      </c>
      <c r="M46" s="16" t="s">
        <v>195</v>
      </c>
      <c r="N46" s="16" t="s">
        <v>216</v>
      </c>
      <c r="O46" s="18" t="s">
        <v>361</v>
      </c>
      <c r="P46" s="16"/>
    </row>
    <row r="47" customFormat="false" ht="15" hidden="false" customHeight="true" outlineLevel="0" collapsed="false">
      <c r="A47" s="16" t="s">
        <v>362</v>
      </c>
      <c r="B47" s="16"/>
      <c r="C47" s="16" t="s">
        <v>210</v>
      </c>
      <c r="D47" s="16" t="s">
        <v>363</v>
      </c>
      <c r="E47" s="17" t="s">
        <v>364</v>
      </c>
      <c r="F47" s="16" t="s">
        <v>43</v>
      </c>
      <c r="G47" s="16" t="s">
        <v>365</v>
      </c>
      <c r="H47" s="16" t="s">
        <v>88</v>
      </c>
      <c r="I47" s="16"/>
      <c r="J47" s="16" t="n">
        <v>2018</v>
      </c>
      <c r="K47" s="16" t="s">
        <v>59</v>
      </c>
      <c r="L47" s="16" t="s">
        <v>60</v>
      </c>
      <c r="M47" s="16" t="s">
        <v>215</v>
      </c>
      <c r="N47" s="16" t="s">
        <v>216</v>
      </c>
      <c r="O47" s="18" t="s">
        <v>361</v>
      </c>
      <c r="P47" s="16"/>
    </row>
    <row r="48" customFormat="false" ht="15" hidden="false" customHeight="true" outlineLevel="0" collapsed="false">
      <c r="A48" s="16" t="s">
        <v>366</v>
      </c>
      <c r="B48" s="16"/>
      <c r="C48" s="16" t="s">
        <v>210</v>
      </c>
      <c r="D48" s="16" t="s">
        <v>367</v>
      </c>
      <c r="E48" s="17" t="s">
        <v>368</v>
      </c>
      <c r="F48" s="16" t="s">
        <v>43</v>
      </c>
      <c r="G48" s="16" t="s">
        <v>369</v>
      </c>
      <c r="H48" s="16" t="s">
        <v>370</v>
      </c>
      <c r="I48" s="16" t="n">
        <v>1994</v>
      </c>
      <c r="J48" s="16" t="n">
        <v>2016</v>
      </c>
      <c r="K48" s="16" t="s">
        <v>371</v>
      </c>
      <c r="L48" s="16" t="s">
        <v>60</v>
      </c>
      <c r="M48" s="16" t="s">
        <v>215</v>
      </c>
      <c r="N48" s="16" t="s">
        <v>216</v>
      </c>
      <c r="O48" s="18" t="s">
        <v>372</v>
      </c>
      <c r="P48" s="16" t="s">
        <v>373</v>
      </c>
    </row>
    <row r="49" customFormat="false" ht="23.25" hidden="false" customHeight="true" outlineLevel="0" collapsed="false">
      <c r="A49" s="16" t="s">
        <v>374</v>
      </c>
      <c r="B49" s="16"/>
      <c r="C49" s="16" t="s">
        <v>210</v>
      </c>
      <c r="D49" s="16" t="s">
        <v>375</v>
      </c>
      <c r="E49" s="17" t="s">
        <v>376</v>
      </c>
      <c r="F49" s="16" t="s">
        <v>43</v>
      </c>
      <c r="G49" s="16" t="s">
        <v>377</v>
      </c>
      <c r="H49" s="16" t="s">
        <v>285</v>
      </c>
      <c r="I49" s="16"/>
      <c r="J49" s="16" t="n">
        <v>2014</v>
      </c>
      <c r="K49" s="16" t="s">
        <v>378</v>
      </c>
      <c r="L49" s="16"/>
      <c r="M49" s="16" t="s">
        <v>187</v>
      </c>
      <c r="N49" s="16" t="s">
        <v>216</v>
      </c>
      <c r="O49" s="18" t="s">
        <v>372</v>
      </c>
      <c r="P49" s="16" t="s">
        <v>379</v>
      </c>
    </row>
    <row r="50" customFormat="false" ht="15" hidden="false" customHeight="true" outlineLevel="0" collapsed="false">
      <c r="A50" s="16" t="s">
        <v>380</v>
      </c>
      <c r="B50" s="16"/>
      <c r="C50" s="16" t="s">
        <v>210</v>
      </c>
      <c r="D50" s="16" t="s">
        <v>381</v>
      </c>
      <c r="E50" s="17" t="s">
        <v>382</v>
      </c>
      <c r="F50" s="16" t="s">
        <v>43</v>
      </c>
      <c r="G50" s="16" t="s">
        <v>44</v>
      </c>
      <c r="H50" s="16" t="s">
        <v>88</v>
      </c>
      <c r="I50" s="16"/>
      <c r="J50" s="16"/>
      <c r="K50" s="16" t="s">
        <v>195</v>
      </c>
      <c r="L50" s="16"/>
      <c r="M50" s="16" t="s">
        <v>195</v>
      </c>
      <c r="N50" s="16" t="s">
        <v>216</v>
      </c>
      <c r="O50" s="18" t="s">
        <v>372</v>
      </c>
      <c r="P50" s="16" t="s">
        <v>383</v>
      </c>
    </row>
    <row r="51" customFormat="false" ht="15" hidden="false" customHeight="true" outlineLevel="0" collapsed="false">
      <c r="A51" s="16" t="s">
        <v>384</v>
      </c>
      <c r="B51" s="16"/>
      <c r="C51" s="16" t="s">
        <v>210</v>
      </c>
      <c r="D51" s="16" t="s">
        <v>385</v>
      </c>
      <c r="E51" s="17" t="s">
        <v>386</v>
      </c>
      <c r="F51" s="16" t="s">
        <v>43</v>
      </c>
      <c r="G51" s="16"/>
      <c r="H51" s="16" t="s">
        <v>88</v>
      </c>
      <c r="I51" s="16"/>
      <c r="J51" s="16"/>
      <c r="K51" s="16" t="s">
        <v>195</v>
      </c>
      <c r="L51" s="16"/>
      <c r="M51" s="16" t="s">
        <v>195</v>
      </c>
      <c r="N51" s="16" t="s">
        <v>216</v>
      </c>
      <c r="O51" s="18" t="s">
        <v>372</v>
      </c>
      <c r="P51" s="16"/>
    </row>
    <row r="52" customFormat="false" ht="15" hidden="false" customHeight="true" outlineLevel="0" collapsed="false">
      <c r="A52" s="16" t="s">
        <v>387</v>
      </c>
      <c r="B52" s="16"/>
      <c r="C52" s="16" t="s">
        <v>210</v>
      </c>
      <c r="D52" s="16" t="s">
        <v>388</v>
      </c>
      <c r="E52" s="17" t="s">
        <v>389</v>
      </c>
      <c r="F52" s="16" t="s">
        <v>43</v>
      </c>
      <c r="G52" s="16" t="s">
        <v>365</v>
      </c>
      <c r="H52" s="16" t="s">
        <v>88</v>
      </c>
      <c r="I52" s="16"/>
      <c r="J52" s="16" t="n">
        <v>2016</v>
      </c>
      <c r="K52" s="16" t="s">
        <v>390</v>
      </c>
      <c r="L52" s="16" t="s">
        <v>60</v>
      </c>
      <c r="M52" s="16" t="s">
        <v>195</v>
      </c>
      <c r="N52" s="16" t="s">
        <v>391</v>
      </c>
      <c r="O52" s="16"/>
      <c r="P52" s="16"/>
    </row>
    <row r="53" customFormat="false" ht="15" hidden="false" customHeight="true" outlineLevel="0" collapsed="false">
      <c r="A53" s="16" t="s">
        <v>392</v>
      </c>
      <c r="B53" s="16"/>
      <c r="C53" s="16" t="s">
        <v>210</v>
      </c>
      <c r="D53" s="16" t="s">
        <v>393</v>
      </c>
      <c r="E53" s="17" t="s">
        <v>394</v>
      </c>
      <c r="F53" s="16" t="s">
        <v>43</v>
      </c>
      <c r="G53" s="16" t="s">
        <v>87</v>
      </c>
      <c r="H53" s="16" t="s">
        <v>285</v>
      </c>
      <c r="I53" s="16"/>
      <c r="J53" s="16" t="n">
        <v>2021</v>
      </c>
      <c r="K53" s="16" t="s">
        <v>390</v>
      </c>
      <c r="L53" s="16" t="s">
        <v>60</v>
      </c>
      <c r="M53" s="16" t="s">
        <v>195</v>
      </c>
      <c r="N53" s="16" t="s">
        <v>391</v>
      </c>
      <c r="O53" s="16"/>
      <c r="P53" s="16"/>
    </row>
    <row r="54" customFormat="false" ht="15" hidden="false" customHeight="true" outlineLevel="0" collapsed="false">
      <c r="A54" s="16" t="s">
        <v>395</v>
      </c>
      <c r="B54" s="16"/>
      <c r="C54" s="16" t="s">
        <v>210</v>
      </c>
      <c r="D54" s="16" t="s">
        <v>396</v>
      </c>
      <c r="E54" s="17" t="s">
        <v>397</v>
      </c>
      <c r="F54" s="16" t="s">
        <v>43</v>
      </c>
      <c r="G54" s="16" t="s">
        <v>369</v>
      </c>
      <c r="H54" s="16" t="s">
        <v>88</v>
      </c>
      <c r="I54" s="16"/>
      <c r="J54" s="16" t="n">
        <v>2015</v>
      </c>
      <c r="K54" s="16" t="s">
        <v>390</v>
      </c>
      <c r="L54" s="16" t="s">
        <v>60</v>
      </c>
      <c r="M54" s="16" t="s">
        <v>195</v>
      </c>
      <c r="N54" s="16" t="s">
        <v>391</v>
      </c>
      <c r="O54" s="16"/>
      <c r="P54" s="16"/>
    </row>
    <row r="55" customFormat="false" ht="15" hidden="false" customHeight="true" outlineLevel="0" collapsed="false">
      <c r="A55" s="16" t="s">
        <v>398</v>
      </c>
      <c r="B55" s="16"/>
      <c r="C55" s="16" t="s">
        <v>210</v>
      </c>
      <c r="D55" s="16" t="s">
        <v>399</v>
      </c>
      <c r="E55" s="17" t="s">
        <v>400</v>
      </c>
      <c r="F55" s="16" t="s">
        <v>43</v>
      </c>
      <c r="G55" s="16" t="s">
        <v>268</v>
      </c>
      <c r="H55" s="16" t="s">
        <v>227</v>
      </c>
      <c r="I55" s="16"/>
      <c r="J55" s="16" t="n">
        <v>2014</v>
      </c>
      <c r="K55" s="16" t="s">
        <v>390</v>
      </c>
      <c r="L55" s="16" t="s">
        <v>60</v>
      </c>
      <c r="M55" s="16" t="s">
        <v>195</v>
      </c>
      <c r="N55" s="16" t="s">
        <v>391</v>
      </c>
      <c r="O55" s="16"/>
      <c r="P55" s="16"/>
    </row>
    <row r="56" customFormat="false" ht="23.25" hidden="false" customHeight="true" outlineLevel="0" collapsed="false">
      <c r="A56" s="16" t="s">
        <v>401</v>
      </c>
      <c r="B56" s="16"/>
      <c r="C56" s="16" t="s">
        <v>210</v>
      </c>
      <c r="D56" s="16" t="s">
        <v>402</v>
      </c>
      <c r="E56" s="17" t="s">
        <v>403</v>
      </c>
      <c r="F56" s="16" t="s">
        <v>43</v>
      </c>
      <c r="G56" s="16" t="s">
        <v>404</v>
      </c>
      <c r="H56" s="16" t="s">
        <v>88</v>
      </c>
      <c r="I56" s="16" t="n">
        <v>1989</v>
      </c>
      <c r="J56" s="16" t="n">
        <v>2006</v>
      </c>
      <c r="K56" s="16" t="s">
        <v>405</v>
      </c>
      <c r="L56" s="16" t="s">
        <v>60</v>
      </c>
      <c r="M56" s="16" t="s">
        <v>195</v>
      </c>
      <c r="N56" s="16" t="s">
        <v>391</v>
      </c>
      <c r="O56" s="16"/>
      <c r="P56" s="16" t="s">
        <v>406</v>
      </c>
    </row>
    <row r="57" customFormat="false" ht="23.25" hidden="false" customHeight="true" outlineLevel="0" collapsed="false">
      <c r="A57" s="16" t="s">
        <v>407</v>
      </c>
      <c r="B57" s="16"/>
      <c r="C57" s="16" t="s">
        <v>210</v>
      </c>
      <c r="D57" s="16" t="s">
        <v>408</v>
      </c>
      <c r="E57" s="17" t="s">
        <v>409</v>
      </c>
      <c r="F57" s="16" t="s">
        <v>56</v>
      </c>
      <c r="G57" s="16" t="s">
        <v>410</v>
      </c>
      <c r="H57" s="16" t="s">
        <v>411</v>
      </c>
      <c r="I57" s="16" t="n">
        <v>1952</v>
      </c>
      <c r="J57" s="16" t="n">
        <v>1983</v>
      </c>
      <c r="K57" s="16" t="s">
        <v>412</v>
      </c>
      <c r="L57" s="16" t="s">
        <v>60</v>
      </c>
      <c r="M57" s="16" t="s">
        <v>215</v>
      </c>
      <c r="N57" s="16" t="s">
        <v>413</v>
      </c>
      <c r="O57" s="16"/>
      <c r="P57" s="16" t="s">
        <v>414</v>
      </c>
    </row>
    <row r="58" customFormat="false" ht="23.25" hidden="false" customHeight="true" outlineLevel="0" collapsed="false">
      <c r="A58" s="16" t="s">
        <v>415</v>
      </c>
      <c r="B58" s="16"/>
      <c r="C58" s="16" t="s">
        <v>210</v>
      </c>
      <c r="D58" s="16" t="s">
        <v>416</v>
      </c>
      <c r="E58" s="17" t="s">
        <v>417</v>
      </c>
      <c r="F58" s="16" t="s">
        <v>56</v>
      </c>
      <c r="G58" s="16" t="s">
        <v>418</v>
      </c>
      <c r="H58" s="16" t="s">
        <v>411</v>
      </c>
      <c r="I58" s="16" t="n">
        <v>1957</v>
      </c>
      <c r="J58" s="16" t="n">
        <v>1984</v>
      </c>
      <c r="K58" s="16" t="s">
        <v>412</v>
      </c>
      <c r="L58" s="16" t="s">
        <v>60</v>
      </c>
      <c r="M58" s="16" t="s">
        <v>215</v>
      </c>
      <c r="N58" s="16" t="s">
        <v>413</v>
      </c>
      <c r="O58" s="16"/>
      <c r="P58" s="16" t="s">
        <v>419</v>
      </c>
    </row>
    <row r="59" customFormat="false" ht="23.25" hidden="false" customHeight="true" outlineLevel="0" collapsed="false">
      <c r="A59" s="16" t="s">
        <v>420</v>
      </c>
      <c r="B59" s="16"/>
      <c r="C59" s="16" t="s">
        <v>210</v>
      </c>
      <c r="D59" s="16" t="s">
        <v>421</v>
      </c>
      <c r="E59" s="17" t="s">
        <v>422</v>
      </c>
      <c r="F59" s="16" t="s">
        <v>56</v>
      </c>
      <c r="G59" s="16" t="s">
        <v>423</v>
      </c>
      <c r="H59" s="16" t="s">
        <v>424</v>
      </c>
      <c r="I59" s="16" t="n">
        <v>1960</v>
      </c>
      <c r="J59" s="16" t="n">
        <v>1984</v>
      </c>
      <c r="K59" s="16" t="s">
        <v>412</v>
      </c>
      <c r="L59" s="16" t="s">
        <v>60</v>
      </c>
      <c r="M59" s="16" t="s">
        <v>215</v>
      </c>
      <c r="N59" s="16" t="s">
        <v>413</v>
      </c>
      <c r="O59" s="16"/>
      <c r="P59" s="16" t="s">
        <v>425</v>
      </c>
    </row>
    <row r="60" customFormat="false" ht="23.25" hidden="false" customHeight="true" outlineLevel="0" collapsed="false">
      <c r="A60" s="16" t="s">
        <v>426</v>
      </c>
      <c r="B60" s="16"/>
      <c r="C60" s="16" t="s">
        <v>210</v>
      </c>
      <c r="D60" s="16" t="s">
        <v>427</v>
      </c>
      <c r="E60" s="17" t="s">
        <v>428</v>
      </c>
      <c r="F60" s="16" t="s">
        <v>56</v>
      </c>
      <c r="G60" s="16" t="s">
        <v>57</v>
      </c>
      <c r="H60" s="16" t="s">
        <v>429</v>
      </c>
      <c r="I60" s="16" t="n">
        <v>1960</v>
      </c>
      <c r="J60" s="16" t="n">
        <v>1989</v>
      </c>
      <c r="K60" s="16" t="s">
        <v>412</v>
      </c>
      <c r="L60" s="16" t="s">
        <v>60</v>
      </c>
      <c r="M60" s="16" t="s">
        <v>215</v>
      </c>
      <c r="N60" s="16" t="s">
        <v>413</v>
      </c>
      <c r="O60" s="16"/>
      <c r="P60" s="16" t="s">
        <v>430</v>
      </c>
    </row>
    <row r="61" customFormat="false" ht="15" hidden="false" customHeight="true" outlineLevel="0" collapsed="false">
      <c r="A61" s="16" t="s">
        <v>431</v>
      </c>
      <c r="B61" s="16"/>
      <c r="C61" s="16" t="s">
        <v>210</v>
      </c>
      <c r="D61" s="16" t="s">
        <v>432</v>
      </c>
      <c r="E61" s="17" t="s">
        <v>433</v>
      </c>
      <c r="F61" s="16" t="s">
        <v>56</v>
      </c>
      <c r="G61" s="16" t="s">
        <v>434</v>
      </c>
      <c r="H61" s="16" t="s">
        <v>411</v>
      </c>
      <c r="I61" s="16" t="n">
        <v>1978</v>
      </c>
      <c r="J61" s="16" t="n">
        <v>2011</v>
      </c>
      <c r="K61" s="16" t="s">
        <v>59</v>
      </c>
      <c r="L61" s="16" t="s">
        <v>60</v>
      </c>
      <c r="M61" s="16" t="s">
        <v>215</v>
      </c>
      <c r="N61" s="16" t="s">
        <v>435</v>
      </c>
      <c r="O61" s="16"/>
      <c r="P61" s="16" t="s">
        <v>436</v>
      </c>
    </row>
    <row r="62" customFormat="false" ht="26.25" hidden="false" customHeight="true" outlineLevel="0" collapsed="false">
      <c r="A62" s="16" t="s">
        <v>437</v>
      </c>
      <c r="B62" s="16"/>
      <c r="C62" s="16" t="s">
        <v>210</v>
      </c>
      <c r="D62" s="16" t="s">
        <v>438</v>
      </c>
      <c r="E62" s="16"/>
      <c r="F62" s="16" t="s">
        <v>56</v>
      </c>
      <c r="G62" s="16" t="s">
        <v>439</v>
      </c>
      <c r="H62" s="16" t="s">
        <v>411</v>
      </c>
      <c r="I62" s="16" t="n">
        <v>2003</v>
      </c>
      <c r="J62" s="16" t="n">
        <v>2012</v>
      </c>
      <c r="K62" s="16" t="s">
        <v>440</v>
      </c>
      <c r="L62" s="16" t="s">
        <v>60</v>
      </c>
      <c r="M62" s="16" t="s">
        <v>215</v>
      </c>
      <c r="N62" s="16" t="s">
        <v>435</v>
      </c>
      <c r="O62" s="16"/>
      <c r="P62" s="16" t="s">
        <v>441</v>
      </c>
    </row>
    <row r="63" customFormat="false" ht="15" hidden="false" customHeight="true" outlineLevel="0" collapsed="false">
      <c r="A63" s="16" t="s">
        <v>442</v>
      </c>
      <c r="B63" s="16"/>
      <c r="C63" s="16" t="s">
        <v>210</v>
      </c>
      <c r="D63" s="16" t="s">
        <v>443</v>
      </c>
      <c r="E63" s="17" t="s">
        <v>444</v>
      </c>
      <c r="F63" s="16" t="s">
        <v>56</v>
      </c>
      <c r="G63" s="16" t="s">
        <v>445</v>
      </c>
      <c r="H63" s="16" t="s">
        <v>446</v>
      </c>
      <c r="I63" s="16" t="n">
        <v>2006</v>
      </c>
      <c r="J63" s="16" t="n">
        <v>2016</v>
      </c>
      <c r="K63" s="16" t="s">
        <v>59</v>
      </c>
      <c r="L63" s="16" t="s">
        <v>60</v>
      </c>
      <c r="M63" s="16" t="s">
        <v>215</v>
      </c>
      <c r="N63" s="16" t="s">
        <v>435</v>
      </c>
      <c r="O63" s="16"/>
      <c r="P63" s="16" t="s">
        <v>447</v>
      </c>
    </row>
    <row r="64" customFormat="false" ht="15" hidden="false" customHeight="true" outlineLevel="0" collapsed="false">
      <c r="A64" s="16" t="s">
        <v>448</v>
      </c>
      <c r="B64" s="16"/>
      <c r="C64" s="16" t="s">
        <v>210</v>
      </c>
      <c r="D64" s="16" t="s">
        <v>449</v>
      </c>
      <c r="E64" s="17" t="s">
        <v>450</v>
      </c>
      <c r="F64" s="16" t="s">
        <v>56</v>
      </c>
      <c r="G64" s="16" t="s">
        <v>451</v>
      </c>
      <c r="H64" s="16" t="s">
        <v>118</v>
      </c>
      <c r="I64" s="16" t="n">
        <v>2007</v>
      </c>
      <c r="J64" s="16" t="n">
        <v>2020</v>
      </c>
      <c r="K64" s="16" t="s">
        <v>59</v>
      </c>
      <c r="L64" s="16" t="s">
        <v>60</v>
      </c>
      <c r="M64" s="16" t="s">
        <v>215</v>
      </c>
      <c r="N64" s="16" t="s">
        <v>435</v>
      </c>
      <c r="O64" s="16"/>
      <c r="P64" s="16" t="s">
        <v>452</v>
      </c>
    </row>
    <row r="65" customFormat="false" ht="15" hidden="false" customHeight="true" outlineLevel="0" collapsed="false">
      <c r="A65" s="16" t="s">
        <v>453</v>
      </c>
      <c r="B65" s="16"/>
      <c r="C65" s="16" t="s">
        <v>210</v>
      </c>
      <c r="D65" s="16" t="s">
        <v>454</v>
      </c>
      <c r="E65" s="17" t="s">
        <v>455</v>
      </c>
      <c r="F65" s="16" t="s">
        <v>56</v>
      </c>
      <c r="G65" s="16" t="s">
        <v>410</v>
      </c>
      <c r="H65" s="16" t="s">
        <v>118</v>
      </c>
      <c r="I65" s="16" t="n">
        <v>1990</v>
      </c>
      <c r="J65" s="16" t="n">
        <v>2019</v>
      </c>
      <c r="K65" s="16" t="s">
        <v>59</v>
      </c>
      <c r="L65" s="16" t="s">
        <v>60</v>
      </c>
      <c r="M65" s="16" t="s">
        <v>215</v>
      </c>
      <c r="N65" s="16" t="s">
        <v>435</v>
      </c>
      <c r="O65" s="16"/>
      <c r="P65" s="16" t="s">
        <v>456</v>
      </c>
    </row>
    <row r="66" customFormat="false" ht="15" hidden="false" customHeight="true" outlineLevel="0" collapsed="false">
      <c r="A66" s="16" t="s">
        <v>457</v>
      </c>
      <c r="B66" s="16"/>
      <c r="C66" s="16" t="s">
        <v>210</v>
      </c>
      <c r="D66" s="16" t="s">
        <v>458</v>
      </c>
      <c r="E66" s="17" t="s">
        <v>459</v>
      </c>
      <c r="F66" s="16" t="s">
        <v>56</v>
      </c>
      <c r="G66" s="16" t="s">
        <v>460</v>
      </c>
      <c r="H66" s="16" t="s">
        <v>461</v>
      </c>
      <c r="I66" s="16" t="n">
        <v>2002</v>
      </c>
      <c r="J66" s="16" t="n">
        <v>2007</v>
      </c>
      <c r="K66" s="16" t="s">
        <v>462</v>
      </c>
      <c r="L66" s="16" t="s">
        <v>60</v>
      </c>
      <c r="M66" s="16" t="s">
        <v>215</v>
      </c>
      <c r="N66" s="16" t="s">
        <v>435</v>
      </c>
      <c r="O66" s="16"/>
      <c r="P66" s="16" t="s">
        <v>463</v>
      </c>
    </row>
    <row r="67" customFormat="false" ht="23.25" hidden="false" customHeight="true" outlineLevel="0" collapsed="false">
      <c r="A67" s="16" t="s">
        <v>464</v>
      </c>
      <c r="B67" s="16"/>
      <c r="C67" s="16" t="s">
        <v>210</v>
      </c>
      <c r="D67" s="16" t="s">
        <v>465</v>
      </c>
      <c r="E67" s="17" t="s">
        <v>466</v>
      </c>
      <c r="F67" s="16" t="s">
        <v>56</v>
      </c>
      <c r="G67" s="16" t="s">
        <v>467</v>
      </c>
      <c r="H67" s="16" t="s">
        <v>118</v>
      </c>
      <c r="I67" s="16" t="n">
        <v>1997</v>
      </c>
      <c r="J67" s="16" t="n">
        <v>2025</v>
      </c>
      <c r="K67" s="16" t="s">
        <v>468</v>
      </c>
      <c r="L67" s="16" t="s">
        <v>60</v>
      </c>
      <c r="M67" s="16" t="s">
        <v>215</v>
      </c>
      <c r="N67" s="16" t="s">
        <v>469</v>
      </c>
      <c r="O67" s="18" t="s">
        <v>470</v>
      </c>
      <c r="P67" s="16" t="s">
        <v>471</v>
      </c>
    </row>
    <row r="68" customFormat="false" ht="15" hidden="false" customHeight="true" outlineLevel="0" collapsed="false">
      <c r="A68" s="16" t="s">
        <v>472</v>
      </c>
      <c r="B68" s="16"/>
      <c r="C68" s="16" t="s">
        <v>210</v>
      </c>
      <c r="D68" s="16" t="s">
        <v>473</v>
      </c>
      <c r="E68" s="17" t="s">
        <v>474</v>
      </c>
      <c r="F68" s="16" t="s">
        <v>56</v>
      </c>
      <c r="G68" s="16" t="s">
        <v>475</v>
      </c>
      <c r="H68" s="16" t="s">
        <v>118</v>
      </c>
      <c r="I68" s="16" t="n">
        <v>1958</v>
      </c>
      <c r="J68" s="16" t="n">
        <v>1985</v>
      </c>
      <c r="K68" s="16" t="s">
        <v>476</v>
      </c>
      <c r="L68" s="16" t="s">
        <v>60</v>
      </c>
      <c r="M68" s="16" t="s">
        <v>215</v>
      </c>
      <c r="N68" s="16" t="s">
        <v>435</v>
      </c>
      <c r="O68" s="16"/>
      <c r="P68" s="16" t="s">
        <v>477</v>
      </c>
    </row>
    <row r="69" customFormat="false" ht="15" hidden="false" customHeight="true" outlineLevel="0" collapsed="false">
      <c r="A69" s="16" t="s">
        <v>478</v>
      </c>
      <c r="B69" s="16"/>
      <c r="C69" s="16" t="s">
        <v>210</v>
      </c>
      <c r="D69" s="16" t="s">
        <v>479</v>
      </c>
      <c r="E69" s="17" t="s">
        <v>480</v>
      </c>
      <c r="F69" s="16" t="s">
        <v>56</v>
      </c>
      <c r="G69" s="16" t="s">
        <v>481</v>
      </c>
      <c r="H69" s="16" t="s">
        <v>411</v>
      </c>
      <c r="I69" s="16" t="n">
        <v>1957</v>
      </c>
      <c r="J69" s="16" t="n">
        <v>1986</v>
      </c>
      <c r="K69" s="16" t="s">
        <v>59</v>
      </c>
      <c r="L69" s="16" t="s">
        <v>60</v>
      </c>
      <c r="M69" s="16" t="s">
        <v>215</v>
      </c>
      <c r="N69" s="16" t="s">
        <v>435</v>
      </c>
      <c r="O69" s="16"/>
      <c r="P69" s="16" t="s">
        <v>482</v>
      </c>
    </row>
    <row r="70" customFormat="false" ht="26.25" hidden="false" customHeight="true" outlineLevel="0" collapsed="false">
      <c r="A70" s="16" t="s">
        <v>483</v>
      </c>
      <c r="B70" s="16"/>
      <c r="C70" s="16" t="s">
        <v>210</v>
      </c>
      <c r="D70" s="16" t="s">
        <v>484</v>
      </c>
      <c r="E70" s="17" t="s">
        <v>485</v>
      </c>
      <c r="F70" s="16" t="s">
        <v>77</v>
      </c>
      <c r="G70" s="16" t="s">
        <v>486</v>
      </c>
      <c r="H70" s="16" t="s">
        <v>487</v>
      </c>
      <c r="I70" s="16" t="n">
        <v>1995</v>
      </c>
      <c r="J70" s="16" t="n">
        <v>2012</v>
      </c>
      <c r="K70" s="16" t="s">
        <v>488</v>
      </c>
      <c r="L70" s="16" t="s">
        <v>60</v>
      </c>
      <c r="M70" s="16" t="s">
        <v>215</v>
      </c>
      <c r="N70" s="16" t="s">
        <v>489</v>
      </c>
      <c r="O70" s="18" t="s">
        <v>490</v>
      </c>
      <c r="P70" s="16" t="s">
        <v>491</v>
      </c>
    </row>
    <row r="71" customFormat="false" ht="23.25" hidden="false" customHeight="true" outlineLevel="0" collapsed="false">
      <c r="A71" s="16" t="s">
        <v>492</v>
      </c>
      <c r="B71" s="16"/>
      <c r="C71" s="16" t="s">
        <v>210</v>
      </c>
      <c r="D71" s="16" t="s">
        <v>493</v>
      </c>
      <c r="E71" s="17" t="s">
        <v>494</v>
      </c>
      <c r="F71" s="16" t="s">
        <v>77</v>
      </c>
      <c r="G71" s="16"/>
      <c r="H71" s="16" t="s">
        <v>495</v>
      </c>
      <c r="I71" s="16"/>
      <c r="J71" s="16" t="n">
        <v>2016</v>
      </c>
      <c r="K71" s="16" t="s">
        <v>496</v>
      </c>
      <c r="L71" s="16" t="s">
        <v>60</v>
      </c>
      <c r="M71" s="16" t="s">
        <v>215</v>
      </c>
      <c r="N71" s="16" t="s">
        <v>497</v>
      </c>
      <c r="O71" s="18" t="s">
        <v>498</v>
      </c>
      <c r="P71" s="16"/>
    </row>
    <row r="72" customFormat="false" ht="23.25" hidden="false" customHeight="true" outlineLevel="0" collapsed="false">
      <c r="A72" s="16" t="s">
        <v>499</v>
      </c>
      <c r="B72" s="16"/>
      <c r="C72" s="16" t="s">
        <v>210</v>
      </c>
      <c r="D72" s="16" t="s">
        <v>500</v>
      </c>
      <c r="E72" s="17" t="s">
        <v>501</v>
      </c>
      <c r="F72" s="16" t="s">
        <v>77</v>
      </c>
      <c r="G72" s="16" t="s">
        <v>502</v>
      </c>
      <c r="H72" s="16" t="s">
        <v>503</v>
      </c>
      <c r="I72" s="16"/>
      <c r="J72" s="16" t="n">
        <v>2017</v>
      </c>
      <c r="K72" s="16" t="s">
        <v>59</v>
      </c>
      <c r="L72" s="16" t="s">
        <v>60</v>
      </c>
      <c r="M72" s="16" t="s">
        <v>215</v>
      </c>
      <c r="N72" s="16" t="s">
        <v>497</v>
      </c>
      <c r="O72" s="18" t="s">
        <v>498</v>
      </c>
      <c r="P72" s="16" t="s">
        <v>504</v>
      </c>
    </row>
    <row r="73" customFormat="false" ht="23.25" hidden="false" customHeight="true" outlineLevel="0" collapsed="false">
      <c r="A73" s="16" t="s">
        <v>505</v>
      </c>
      <c r="B73" s="16"/>
      <c r="C73" s="16" t="s">
        <v>210</v>
      </c>
      <c r="D73" s="16" t="s">
        <v>506</v>
      </c>
      <c r="E73" s="17" t="s">
        <v>507</v>
      </c>
      <c r="F73" s="16" t="s">
        <v>77</v>
      </c>
      <c r="G73" s="16" t="s">
        <v>508</v>
      </c>
      <c r="H73" s="16" t="s">
        <v>118</v>
      </c>
      <c r="I73" s="16"/>
      <c r="J73" s="16"/>
      <c r="K73" s="16" t="s">
        <v>509</v>
      </c>
      <c r="L73" s="16"/>
      <c r="M73" s="16" t="s">
        <v>195</v>
      </c>
      <c r="N73" s="16" t="s">
        <v>497</v>
      </c>
      <c r="O73" s="18" t="s">
        <v>498</v>
      </c>
      <c r="P73" s="16" t="s">
        <v>510</v>
      </c>
    </row>
    <row r="74" customFormat="false" ht="15" hidden="false" customHeight="true" outlineLevel="0" collapsed="false">
      <c r="A74" s="16" t="s">
        <v>511</v>
      </c>
      <c r="B74" s="16"/>
      <c r="C74" s="16" t="s">
        <v>210</v>
      </c>
      <c r="D74" s="16" t="s">
        <v>512</v>
      </c>
      <c r="E74" s="17" t="s">
        <v>513</v>
      </c>
      <c r="F74" s="16" t="s">
        <v>77</v>
      </c>
      <c r="G74" s="16" t="s">
        <v>502</v>
      </c>
      <c r="H74" s="16" t="s">
        <v>118</v>
      </c>
      <c r="I74" s="16"/>
      <c r="J74" s="16" t="n">
        <v>2021</v>
      </c>
      <c r="K74" s="16" t="s">
        <v>514</v>
      </c>
      <c r="L74" s="16" t="s">
        <v>60</v>
      </c>
      <c r="M74" s="16" t="s">
        <v>215</v>
      </c>
      <c r="N74" s="16" t="s">
        <v>515</v>
      </c>
      <c r="O74" s="16"/>
      <c r="P74" s="16" t="s">
        <v>516</v>
      </c>
    </row>
    <row r="75" customFormat="false" ht="15" hidden="false" customHeight="true" outlineLevel="0" collapsed="false">
      <c r="A75" s="16" t="s">
        <v>517</v>
      </c>
      <c r="B75" s="16"/>
      <c r="C75" s="16" t="s">
        <v>210</v>
      </c>
      <c r="D75" s="16" t="s">
        <v>518</v>
      </c>
      <c r="E75" s="17" t="s">
        <v>519</v>
      </c>
      <c r="F75" s="16" t="s">
        <v>77</v>
      </c>
      <c r="G75" s="16"/>
      <c r="H75" s="16" t="s">
        <v>195</v>
      </c>
      <c r="I75" s="16"/>
      <c r="J75" s="16" t="n">
        <v>2021</v>
      </c>
      <c r="K75" s="16" t="s">
        <v>520</v>
      </c>
      <c r="L75" s="16" t="s">
        <v>60</v>
      </c>
      <c r="M75" s="16" t="s">
        <v>215</v>
      </c>
      <c r="N75" s="16" t="s">
        <v>515</v>
      </c>
      <c r="O75" s="18" t="s">
        <v>521</v>
      </c>
      <c r="P75" s="16"/>
    </row>
    <row r="76" customFormat="false" ht="15" hidden="false" customHeight="true" outlineLevel="0" collapsed="false">
      <c r="A76" s="16" t="s">
        <v>522</v>
      </c>
      <c r="B76" s="16"/>
      <c r="C76" s="16" t="s">
        <v>210</v>
      </c>
      <c r="D76" s="16" t="s">
        <v>523</v>
      </c>
      <c r="E76" s="17" t="s">
        <v>524</v>
      </c>
      <c r="F76" s="16" t="s">
        <v>77</v>
      </c>
      <c r="G76" s="16"/>
      <c r="H76" s="16" t="s">
        <v>195</v>
      </c>
      <c r="I76" s="16"/>
      <c r="J76" s="16" t="n">
        <v>2026</v>
      </c>
      <c r="K76" s="16" t="s">
        <v>525</v>
      </c>
      <c r="L76" s="16" t="s">
        <v>60</v>
      </c>
      <c r="M76" s="16" t="s">
        <v>215</v>
      </c>
      <c r="N76" s="16" t="s">
        <v>526</v>
      </c>
      <c r="O76" s="16"/>
      <c r="P76" s="16" t="s">
        <v>527</v>
      </c>
    </row>
    <row r="77" customFormat="false" ht="23.25" hidden="false" customHeight="true" outlineLevel="0" collapsed="false">
      <c r="A77" s="16" t="s">
        <v>528</v>
      </c>
      <c r="B77" s="16"/>
      <c r="C77" s="16" t="s">
        <v>210</v>
      </c>
      <c r="D77" s="16" t="s">
        <v>529</v>
      </c>
      <c r="E77" s="17" t="s">
        <v>530</v>
      </c>
      <c r="F77" s="16" t="s">
        <v>77</v>
      </c>
      <c r="G77" s="16" t="s">
        <v>531</v>
      </c>
      <c r="H77" s="16" t="s">
        <v>118</v>
      </c>
      <c r="I77" s="16"/>
      <c r="J77" s="16"/>
      <c r="K77" s="16" t="s">
        <v>532</v>
      </c>
      <c r="L77" s="16" t="s">
        <v>194</v>
      </c>
      <c r="M77" s="16" t="s">
        <v>195</v>
      </c>
      <c r="N77" s="16" t="s">
        <v>533</v>
      </c>
      <c r="O77" s="18" t="s">
        <v>534</v>
      </c>
      <c r="P77" s="16" t="s">
        <v>535</v>
      </c>
    </row>
    <row r="78" customFormat="false" ht="23.25" hidden="false" customHeight="true" outlineLevel="0" collapsed="false">
      <c r="A78" s="16" t="s">
        <v>536</v>
      </c>
      <c r="B78" s="16"/>
      <c r="C78" s="16" t="s">
        <v>210</v>
      </c>
      <c r="D78" s="16" t="s">
        <v>537</v>
      </c>
      <c r="E78" s="17" t="s">
        <v>538</v>
      </c>
      <c r="F78" s="16" t="s">
        <v>77</v>
      </c>
      <c r="G78" s="16"/>
      <c r="H78" s="16" t="s">
        <v>181</v>
      </c>
      <c r="I78" s="16"/>
      <c r="J78" s="16"/>
      <c r="K78" s="16" t="s">
        <v>539</v>
      </c>
      <c r="L78" s="16" t="s">
        <v>60</v>
      </c>
      <c r="M78" s="16" t="s">
        <v>195</v>
      </c>
      <c r="N78" s="16" t="s">
        <v>540</v>
      </c>
      <c r="O78" s="18" t="s">
        <v>541</v>
      </c>
      <c r="P78" s="16"/>
    </row>
    <row r="79" customFormat="false" ht="15" hidden="false" customHeight="true" outlineLevel="0" collapsed="false">
      <c r="A79" s="16" t="s">
        <v>542</v>
      </c>
      <c r="B79" s="16"/>
      <c r="C79" s="16" t="s">
        <v>210</v>
      </c>
      <c r="D79" s="16" t="s">
        <v>543</v>
      </c>
      <c r="E79" s="17" t="s">
        <v>544</v>
      </c>
      <c r="F79" s="16" t="s">
        <v>96</v>
      </c>
      <c r="G79" s="16" t="s">
        <v>545</v>
      </c>
      <c r="H79" s="16" t="s">
        <v>546</v>
      </c>
      <c r="I79" s="16" t="n">
        <v>2001</v>
      </c>
      <c r="J79" s="16" t="n">
        <v>2025</v>
      </c>
      <c r="K79" s="16" t="s">
        <v>547</v>
      </c>
      <c r="L79" s="16" t="s">
        <v>60</v>
      </c>
      <c r="M79" s="16" t="s">
        <v>215</v>
      </c>
      <c r="N79" s="16" t="s">
        <v>469</v>
      </c>
      <c r="O79" s="18" t="s">
        <v>548</v>
      </c>
      <c r="P79" s="16" t="s">
        <v>549</v>
      </c>
    </row>
    <row r="80" customFormat="false" ht="15" hidden="false" customHeight="true" outlineLevel="0" collapsed="false">
      <c r="A80" s="16" t="s">
        <v>550</v>
      </c>
      <c r="B80" s="16"/>
      <c r="C80" s="16" t="s">
        <v>210</v>
      </c>
      <c r="D80" s="16" t="s">
        <v>551</v>
      </c>
      <c r="E80" s="17" t="s">
        <v>552</v>
      </c>
      <c r="F80" s="16" t="s">
        <v>96</v>
      </c>
      <c r="G80" s="16" t="s">
        <v>553</v>
      </c>
      <c r="H80" s="16" t="s">
        <v>118</v>
      </c>
      <c r="I80" s="16"/>
      <c r="J80" s="16" t="n">
        <v>2021</v>
      </c>
      <c r="K80" s="16" t="s">
        <v>554</v>
      </c>
      <c r="L80" s="16" t="s">
        <v>60</v>
      </c>
      <c r="M80" s="16" t="s">
        <v>215</v>
      </c>
      <c r="N80" s="16" t="s">
        <v>469</v>
      </c>
      <c r="O80" s="18" t="s">
        <v>555</v>
      </c>
      <c r="P80" s="16" t="s">
        <v>556</v>
      </c>
    </row>
    <row r="81" customFormat="false" ht="15" hidden="false" customHeight="true" outlineLevel="0" collapsed="false">
      <c r="A81" s="16" t="s">
        <v>557</v>
      </c>
      <c r="B81" s="16"/>
      <c r="C81" s="16" t="s">
        <v>210</v>
      </c>
      <c r="D81" s="16" t="s">
        <v>558</v>
      </c>
      <c r="E81" s="16"/>
      <c r="F81" s="16" t="s">
        <v>96</v>
      </c>
      <c r="G81" s="16" t="s">
        <v>559</v>
      </c>
      <c r="H81" s="16" t="s">
        <v>560</v>
      </c>
      <c r="I81" s="16"/>
      <c r="J81" s="16" t="n">
        <v>2016</v>
      </c>
      <c r="K81" s="16" t="s">
        <v>390</v>
      </c>
      <c r="L81" s="16" t="s">
        <v>60</v>
      </c>
      <c r="M81" s="16" t="s">
        <v>195</v>
      </c>
      <c r="N81" s="16" t="s">
        <v>469</v>
      </c>
      <c r="O81" s="18" t="s">
        <v>561</v>
      </c>
      <c r="P81" s="16" t="s">
        <v>562</v>
      </c>
    </row>
    <row r="82" customFormat="false" ht="15" hidden="false" customHeight="true" outlineLevel="0" collapsed="false">
      <c r="A82" s="16" t="s">
        <v>563</v>
      </c>
      <c r="B82" s="16"/>
      <c r="C82" s="16" t="s">
        <v>210</v>
      </c>
      <c r="D82" s="16" t="s">
        <v>564</v>
      </c>
      <c r="E82" s="16"/>
      <c r="F82" s="16" t="s">
        <v>96</v>
      </c>
      <c r="G82" s="16" t="s">
        <v>565</v>
      </c>
      <c r="H82" s="16" t="s">
        <v>411</v>
      </c>
      <c r="I82" s="16"/>
      <c r="J82" s="16" t="n">
        <v>2016</v>
      </c>
      <c r="K82" s="16" t="s">
        <v>390</v>
      </c>
      <c r="L82" s="16" t="s">
        <v>60</v>
      </c>
      <c r="M82" s="16" t="s">
        <v>195</v>
      </c>
      <c r="N82" s="16" t="s">
        <v>469</v>
      </c>
      <c r="O82" s="18" t="s">
        <v>561</v>
      </c>
      <c r="P82" s="16" t="s">
        <v>566</v>
      </c>
    </row>
    <row r="83" customFormat="false" ht="15" hidden="false" customHeight="true" outlineLevel="0" collapsed="false">
      <c r="A83" s="16" t="s">
        <v>567</v>
      </c>
      <c r="B83" s="16"/>
      <c r="C83" s="16" t="s">
        <v>210</v>
      </c>
      <c r="D83" s="16" t="s">
        <v>568</v>
      </c>
      <c r="E83" s="17" t="s">
        <v>569</v>
      </c>
      <c r="F83" s="16" t="s">
        <v>96</v>
      </c>
      <c r="G83" s="16" t="s">
        <v>570</v>
      </c>
      <c r="H83" s="16" t="s">
        <v>227</v>
      </c>
      <c r="I83" s="16" t="n">
        <v>1973</v>
      </c>
      <c r="J83" s="16" t="n">
        <v>2008</v>
      </c>
      <c r="K83" s="16" t="s">
        <v>390</v>
      </c>
      <c r="L83" s="16" t="s">
        <v>60</v>
      </c>
      <c r="M83" s="16" t="s">
        <v>195</v>
      </c>
      <c r="N83" s="16" t="s">
        <v>469</v>
      </c>
      <c r="O83" s="16"/>
      <c r="P83" s="16"/>
    </row>
    <row r="84" customFormat="false" ht="23.25" hidden="false" customHeight="true" outlineLevel="0" collapsed="false">
      <c r="A84" s="16" t="s">
        <v>571</v>
      </c>
      <c r="B84" s="16"/>
      <c r="C84" s="16" t="s">
        <v>210</v>
      </c>
      <c r="D84" s="16" t="s">
        <v>572</v>
      </c>
      <c r="E84" s="17" t="s">
        <v>573</v>
      </c>
      <c r="F84" s="16" t="s">
        <v>96</v>
      </c>
      <c r="G84" s="16"/>
      <c r="H84" s="16" t="s">
        <v>574</v>
      </c>
      <c r="I84" s="16" t="n">
        <v>1959</v>
      </c>
      <c r="J84" s="16" t="n">
        <v>2011</v>
      </c>
      <c r="K84" s="16" t="s">
        <v>575</v>
      </c>
      <c r="L84" s="16" t="s">
        <v>60</v>
      </c>
      <c r="M84" s="16" t="s">
        <v>195</v>
      </c>
      <c r="N84" s="16" t="s">
        <v>576</v>
      </c>
      <c r="O84" s="16"/>
      <c r="P84" s="16" t="s">
        <v>577</v>
      </c>
    </row>
    <row r="85" customFormat="false" ht="23.25" hidden="false" customHeight="true" outlineLevel="0" collapsed="false">
      <c r="A85" s="16" t="s">
        <v>578</v>
      </c>
      <c r="B85" s="16"/>
      <c r="C85" s="16" t="s">
        <v>210</v>
      </c>
      <c r="D85" s="16" t="s">
        <v>579</v>
      </c>
      <c r="E85" s="17" t="s">
        <v>580</v>
      </c>
      <c r="F85" s="16" t="s">
        <v>96</v>
      </c>
      <c r="G85" s="16"/>
      <c r="H85" s="16" t="s">
        <v>581</v>
      </c>
      <c r="I85" s="16" t="n">
        <v>1975</v>
      </c>
      <c r="J85" s="16" t="n">
        <v>2007</v>
      </c>
      <c r="K85" s="16" t="s">
        <v>575</v>
      </c>
      <c r="L85" s="16" t="s">
        <v>60</v>
      </c>
      <c r="M85" s="16" t="s">
        <v>195</v>
      </c>
      <c r="N85" s="16" t="s">
        <v>576</v>
      </c>
      <c r="O85" s="16"/>
      <c r="P85" s="16" t="s">
        <v>582</v>
      </c>
    </row>
    <row r="86" customFormat="false" ht="23.25" hidden="false" customHeight="true" outlineLevel="0" collapsed="false">
      <c r="A86" s="16" t="s">
        <v>583</v>
      </c>
      <c r="B86" s="16"/>
      <c r="C86" s="16" t="s">
        <v>210</v>
      </c>
      <c r="D86" s="16" t="s">
        <v>584</v>
      </c>
      <c r="E86" s="16" t="s">
        <v>585</v>
      </c>
      <c r="F86" s="16" t="s">
        <v>142</v>
      </c>
      <c r="G86" s="16" t="s">
        <v>586</v>
      </c>
      <c r="H86" s="16" t="s">
        <v>118</v>
      </c>
      <c r="I86" s="16" t="n">
        <v>2000</v>
      </c>
      <c r="J86" s="16" t="n">
        <v>2014</v>
      </c>
      <c r="K86" s="16" t="s">
        <v>587</v>
      </c>
      <c r="L86" s="16" t="s">
        <v>588</v>
      </c>
      <c r="M86" s="16" t="s">
        <v>215</v>
      </c>
      <c r="N86" s="16" t="s">
        <v>469</v>
      </c>
      <c r="O86" s="18" t="s">
        <v>589</v>
      </c>
      <c r="P86" s="16" t="s">
        <v>590</v>
      </c>
    </row>
    <row r="87" customFormat="false" ht="23.25" hidden="false" customHeight="true" outlineLevel="0" collapsed="false">
      <c r="A87" s="16" t="s">
        <v>591</v>
      </c>
      <c r="B87" s="16"/>
      <c r="C87" s="16" t="s">
        <v>210</v>
      </c>
      <c r="D87" s="16" t="s">
        <v>592</v>
      </c>
      <c r="E87" s="16" t="s">
        <v>593</v>
      </c>
      <c r="F87" s="16" t="s">
        <v>142</v>
      </c>
      <c r="G87" s="16" t="s">
        <v>143</v>
      </c>
      <c r="H87" s="16" t="s">
        <v>45</v>
      </c>
      <c r="I87" s="16"/>
      <c r="J87" s="16"/>
      <c r="K87" s="16" t="s">
        <v>594</v>
      </c>
      <c r="L87" s="16"/>
      <c r="M87" s="16" t="s">
        <v>187</v>
      </c>
      <c r="N87" s="16" t="s">
        <v>469</v>
      </c>
      <c r="O87" s="16"/>
      <c r="P87" s="16" t="s">
        <v>595</v>
      </c>
    </row>
    <row r="88" customFormat="false" ht="23.25" hidden="false" customHeight="true" outlineLevel="0" collapsed="false">
      <c r="A88" s="16" t="s">
        <v>596</v>
      </c>
      <c r="B88" s="16"/>
      <c r="C88" s="16" t="s">
        <v>210</v>
      </c>
      <c r="D88" s="16" t="s">
        <v>597</v>
      </c>
      <c r="E88" s="16" t="s">
        <v>598</v>
      </c>
      <c r="F88" s="16" t="s">
        <v>116</v>
      </c>
      <c r="G88" s="16"/>
      <c r="H88" s="16" t="s">
        <v>118</v>
      </c>
      <c r="I88" s="16" t="n">
        <v>1976</v>
      </c>
      <c r="J88" s="16" t="n">
        <v>2002</v>
      </c>
      <c r="K88" s="16" t="s">
        <v>599</v>
      </c>
      <c r="L88" s="16" t="s">
        <v>60</v>
      </c>
      <c r="M88" s="16" t="s">
        <v>215</v>
      </c>
      <c r="N88" s="16" t="s">
        <v>469</v>
      </c>
      <c r="O88" s="18" t="s">
        <v>600</v>
      </c>
      <c r="P88" s="16"/>
    </row>
    <row r="89" customFormat="false" ht="23.25" hidden="false" customHeight="true" outlineLevel="0" collapsed="false">
      <c r="A89" s="16" t="s">
        <v>601</v>
      </c>
      <c r="B89" s="16"/>
      <c r="C89" s="16" t="s">
        <v>210</v>
      </c>
      <c r="D89" s="16" t="s">
        <v>602</v>
      </c>
      <c r="E89" s="16"/>
      <c r="F89" s="16" t="s">
        <v>134</v>
      </c>
      <c r="G89" s="16"/>
      <c r="H89" s="16" t="s">
        <v>603</v>
      </c>
      <c r="I89" s="16"/>
      <c r="J89" s="16" t="n">
        <v>2020</v>
      </c>
      <c r="K89" s="16" t="s">
        <v>604</v>
      </c>
      <c r="L89" s="16" t="s">
        <v>605</v>
      </c>
      <c r="M89" s="16" t="s">
        <v>195</v>
      </c>
      <c r="N89" s="16" t="s">
        <v>606</v>
      </c>
      <c r="O89" s="16"/>
      <c r="P89" s="16" t="s">
        <v>607</v>
      </c>
    </row>
  </sheetData>
  <autoFilter ref="A1:P89"/>
  <dataValidations count="2">
    <dataValidation allowBlank="false" errorStyle="stop" operator="between" showDropDown="false" showErrorMessage="false" showInputMessage="false" sqref="C2:C289" type="list">
      <formula1>"Verified record,Provisional record,Pending,Excluded (worked example),Set aside in pilot,Candidate - not screened,Candidate - screened in,Candidate - screened out"</formula1>
      <formula2>0</formula2>
    </dataValidation>
    <dataValidation allowBlank="true" errorStyle="stop" operator="between" showDropDown="false" showErrorMessage="false" showInputMessage="false" sqref="M2:M289" type="list">
      <formula1>"Pass,Likely,Doubtful,Fail,To check,Pass (date to confirm),Likely (date to confirm)"</formula1>
      <formula2>0</formula2>
    </dataValidation>
  </dataValidations>
  <hyperlinks>
    <hyperlink ref="O2" r:id="rId1" display="https://usali.org/wc-case-archive/nie-shubin-case"/>
    <hyperlink ref="O3" r:id="rId2" display="https://www.courts.go.jp/hanrei/93622/detail4/index.html"/>
    <hyperlink ref="O4" r:id="rId3" display="https://www.courts.go.jp/hanrei/80213/detail4/index.html"/>
    <hyperlink ref="O5" r:id="rId4" display="https://cybsbox.cy.gov.tw/CYBSBoxSSL/edoc/download/50046"/>
    <hyperlink ref="O6" r:id="rId5" display="https://usali.org/wc-case-archive/zhang-yuhuan-murder-case"/>
    <hyperlink ref="O7" r:id="rId6" display="https://www.lawtimes.co.kr/news/articleView.html?idxno=166641"/>
    <hyperlink ref="O8" r:id="rId7" display="https://indiankanoon.org/doc/54814974/"/>
    <hyperlink ref="O9" r:id="rId8" display="https://www.gov.il/BlobFolder/dynamiccollectorresultitem/decision502-07/he/502-07.pdf"/>
    <hyperlink ref="O10" r:id="rId9" display="https://www.dawn.com/news/1819573"/>
    <hyperlink ref="O11" r:id="rId10" display="https://www.elitigation.sg/gd/s/2020_SGCA_90"/>
    <hyperlink ref="O12" r:id="rId11" display="https://baochinhphu.vn/tam-dinh-chi-thi-hanh-an-tu-chung-than-1-pham-nhan-102152351.htm"/>
    <hyperlink ref="O13" r:id="rId12" display="https://www.thejakartapost.com/news/2008/09/02/editorial-defending-wrong-judgment.html"/>
    <hyperlink ref="O14" r:id="rId13" display="https://www.doj.gov.hk/en/notable_judgments/pdf/HCAL_176_2018e.pdf"/>
    <hyperlink ref="O22" r:id="rId14" display="https://usali.org/wc-case-archive/she-xianglin-case"/>
    <hyperlink ref="O23" r:id="rId15" display="https://usali.org/wc-case-archive/zhao-zuohai-case"/>
    <hyperlink ref="O24" r:id="rId16" display="https://usali.org/wc-case-archive/huge-jiletu-case"/>
    <hyperlink ref="O25" r:id="rId17" display="https://usali.org/wc-case-archive/zhang-hui-zhang-gaoping-case"/>
    <hyperlink ref="O26" r:id="rId18" display="https://usali.org/wc-case-archive/tian-weidong-case"/>
    <hyperlink ref="O27" r:id="rId19" display="https://usali.org/wc-case-archive/du-peiwu-case"/>
    <hyperlink ref="O28" r:id="rId20" display="https://usali.org/wc-case-archive/bai-chun-rong-case"/>
    <hyperlink ref="O29" r:id="rId21" display="https://usali.org/wc-case-archive/shen-liujin-murder-case"/>
    <hyperlink ref="O30" r:id="rId22" display="https://usali.org/wc-case-archive/guo-li-racketeering-case"/>
    <hyperlink ref="O31" r:id="rId23" display="https://usali.org/wc-case-archive/zeng-fannian-extortion-case"/>
    <hyperlink ref="O32" r:id="rId24" display="https://usali.org/wc-case-archive/zeng-aiyun-murder-case"/>
    <hyperlink ref="O33" r:id="rId25" display="https://usali.org/wc-case-archive/qian-renfeng-poison-case"/>
    <hyperlink ref="O34" r:id="rId26" display="https://usali.org/wc-case-archive/fang-junjin-case"/>
    <hyperlink ref="O35" r:id="rId27" display="https://usali.org/wc-case-archive/tan-xiuyi-rape-and-murder-case"/>
    <hyperlink ref="O36" r:id="rId28" display="https://usali.org/wc-case-archive/lu-rongxin-rape-and-murder-case"/>
    <hyperlink ref="O37" r:id="rId29" display="https://usali.org/wc-case-archive/wang-benyu-case"/>
    <hyperlink ref="O38" r:id="rId30" display="https://usali.org/wc-case-archive/new-zhang-guangxiang-robbery-case-"/>
    <hyperlink ref="O39" r:id="rId31" display="https://usali.org/wc-case-archive/yang-botao-case"/>
    <hyperlink ref="O40" r:id="rId32" display="https://usali.org/wc-case-archive/wu-chunhong-murder-case"/>
    <hyperlink ref="O41" r:id="rId33" display="https://usali.org/wc-case-archive/li-huailiang-case"/>
    <hyperlink ref="O42" r:id="rId34" display="https://usali.org/wc-case-archive/sun-wangang-case"/>
    <hyperlink ref="O43" r:id="rId35" display="https://usali.org/wc-case-archive/yang-dewu-murder-case"/>
    <hyperlink ref="O44" r:id="rId36" display="https://usali.org/wc-case-archive/zheng-yonglin-case"/>
    <hyperlink ref="O45" r:id="rId37" display="https://usali.org/wc-case-archive/yu-yingsheng-case"/>
    <hyperlink ref="O46" r:id="rId38" display="https://usali.org/new-and-notable/new-additions-to-wrongful-convictions-case-archive"/>
    <hyperlink ref="O47" r:id="rId39" display="https://usali.org/new-and-notable/new-additions-to-wrongful-convictions-case-archive"/>
    <hyperlink ref="O48" r:id="rId40" display="https://usali.org/wc-case-archive"/>
    <hyperlink ref="O49" r:id="rId41" display="https://usali.org/wc-case-archive"/>
    <hyperlink ref="O50" r:id="rId42" display="https://usali.org/wc-case-archive"/>
    <hyperlink ref="O51" r:id="rId43" display="https://usali.org/wc-case-archive"/>
    <hyperlink ref="O67" r:id="rId44" display="https://english.adnkronos.com/2026/04/28/man-acquitted-over-1986-murder-seeks-state-compensation/"/>
    <hyperlink ref="O70" r:id="rId45" display="https://www.taipeitimes.com/News/front/archives/2012/09/01/2003541675"/>
    <hyperlink ref="O71" r:id="rId46" display="https://talkingtaiwan.com/?p=6809"/>
    <hyperlink ref="O72" r:id="rId47" display="https://talkingtaiwan.com/?p=6809"/>
    <hyperlink ref="O73" r:id="rId48" display="https://talkingtaiwan.com/?p=6809"/>
    <hyperlink ref="O75" r:id="rId49" display="https://www.mirrormedia.mg/story/20211118web003"/>
    <hyperlink ref="O77" r:id="rId50" display="https://news.pts.org.tw/article/597576"/>
    <hyperlink ref="O78" r:id="rId51" display="https://doi.org/10.1016/j.fsigen.2017.08.004"/>
    <hyperlink ref="O79" r:id="rId52" display="https://www.koreajoongangdaily.com/korea/daughter-serving-life-sentence-for-fathers-murder-acquitted-after-24-years/12127561"/>
    <hyperlink ref="O80" r:id="rId53" display="https://www.koreajoongangdaily.com/korea/busan-court-exonerates-men-imprisoned-21-years-for-murder/10944681"/>
    <hyperlink ref="O81" r:id="rId54" display="https://mobile.newsis.com/view/NISX20191011_0000796489"/>
    <hyperlink ref="O82" r:id="rId55" display="https://mobile.newsis.com/view/NISX20191011_0000796489"/>
    <hyperlink ref="O86" r:id="rId56" display="https://dtinews.dantri.com.vn/vietnam-today/innocent-man-gets-vnd10bn-compensation-payout-20170425110718760.htm"/>
    <hyperlink ref="O88" r:id="rId57" display="https://www.jpost.com/israel/state-compensates-convicted-killer/article-18375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8" min="2" style="1" width="15"/>
  </cols>
  <sheetData>
    <row r="1" customFormat="false" ht="39" hidden="false" customHeight="true" outlineLevel="0" collapsed="false">
      <c r="A1" s="19" t="s">
        <v>27</v>
      </c>
      <c r="B1" s="19" t="s">
        <v>40</v>
      </c>
      <c r="C1" s="19" t="s">
        <v>53</v>
      </c>
      <c r="D1" s="19" t="s">
        <v>148</v>
      </c>
      <c r="E1" s="19" t="s">
        <v>159</v>
      </c>
      <c r="F1" s="19" t="s">
        <v>168</v>
      </c>
      <c r="G1" s="19" t="s">
        <v>210</v>
      </c>
      <c r="H1" s="19" t="s">
        <v>608</v>
      </c>
    </row>
    <row r="2" customFormat="false" ht="15" hidden="false" customHeight="true" outlineLevel="0" collapsed="false">
      <c r="A2" s="3" t="s">
        <v>191</v>
      </c>
      <c r="B2" s="3" t="n">
        <f aca="false">COUNTIFS(Cases!$F:$F,$A2,Cases!$C:$C,B$1)</f>
        <v>0</v>
      </c>
      <c r="C2" s="3" t="n">
        <f aca="false">COUNTIFS(Cases!$F:$F,$A2,Cases!$C:$C,C$1)</f>
        <v>0</v>
      </c>
      <c r="D2" s="3" t="n">
        <f aca="false">COUNTIFS(Cases!$F:$F,$A2,Cases!$C:$C,D$1)</f>
        <v>0</v>
      </c>
      <c r="E2" s="3" t="n">
        <f aca="false">COUNTIFS(Cases!$F:$F,$A2,Cases!$C:$C,E$1)</f>
        <v>0</v>
      </c>
      <c r="F2" s="3" t="n">
        <f aca="false">COUNTIFS(Cases!$F:$F,$A2,Cases!$C:$C,F$1)</f>
        <v>1</v>
      </c>
      <c r="G2" s="3" t="n">
        <f aca="false">COUNTIFS(Cases!$F:$F,$A2,Cases!$C:$C,G$1)</f>
        <v>0</v>
      </c>
      <c r="H2" s="3" t="n">
        <f aca="false">SUM(B2:G2)</f>
        <v>1</v>
      </c>
    </row>
    <row r="3" customFormat="false" ht="15" hidden="false" customHeight="true" outlineLevel="0" collapsed="false">
      <c r="A3" s="3" t="s">
        <v>185</v>
      </c>
      <c r="B3" s="3" t="n">
        <f aca="false">COUNTIFS(Cases!$F:$F,$A3,Cases!$C:$C,B$1)</f>
        <v>0</v>
      </c>
      <c r="C3" s="3" t="n">
        <f aca="false">COUNTIFS(Cases!$F:$F,$A3,Cases!$C:$C,C$1)</f>
        <v>0</v>
      </c>
      <c r="D3" s="3" t="n">
        <f aca="false">COUNTIFS(Cases!$F:$F,$A3,Cases!$C:$C,D$1)</f>
        <v>0</v>
      </c>
      <c r="E3" s="3" t="n">
        <f aca="false">COUNTIFS(Cases!$F:$F,$A3,Cases!$C:$C,E$1)</f>
        <v>0</v>
      </c>
      <c r="F3" s="3" t="n">
        <f aca="false">COUNTIFS(Cases!$F:$F,$A3,Cases!$C:$C,F$1)</f>
        <v>1</v>
      </c>
      <c r="G3" s="3" t="n">
        <f aca="false">COUNTIFS(Cases!$F:$F,$A3,Cases!$C:$C,G$1)</f>
        <v>0</v>
      </c>
      <c r="H3" s="3" t="n">
        <f aca="false">SUM(B3:G3)</f>
        <v>1</v>
      </c>
    </row>
    <row r="4" customFormat="false" ht="15" hidden="false" customHeight="true" outlineLevel="0" collapsed="false">
      <c r="A4" s="3" t="s">
        <v>43</v>
      </c>
      <c r="B4" s="3" t="n">
        <f aca="false">COUNTIFS(Cases!$F:$F,$A4,Cases!$C:$C,B$1)</f>
        <v>1</v>
      </c>
      <c r="C4" s="3" t="n">
        <f aca="false">COUNTIFS(Cases!$F:$F,$A4,Cases!$C:$C,C$1)</f>
        <v>1</v>
      </c>
      <c r="D4" s="3" t="n">
        <f aca="false">COUNTIFS(Cases!$F:$F,$A4,Cases!$C:$C,D$1)</f>
        <v>0</v>
      </c>
      <c r="E4" s="3" t="n">
        <f aca="false">COUNTIFS(Cases!$F:$F,$A4,Cases!$C:$C,E$1)</f>
        <v>0</v>
      </c>
      <c r="F4" s="3" t="n">
        <f aca="false">COUNTIFS(Cases!$F:$F,$A4,Cases!$C:$C,F$1)</f>
        <v>0</v>
      </c>
      <c r="G4" s="3" t="n">
        <f aca="false">COUNTIFS(Cases!$F:$F,$A4,Cases!$C:$C,G$1)</f>
        <v>35</v>
      </c>
      <c r="H4" s="3" t="n">
        <f aca="false">SUM(B4:G4)</f>
        <v>37</v>
      </c>
    </row>
    <row r="5" customFormat="false" ht="15" hidden="false" customHeight="true" outlineLevel="0" collapsed="false">
      <c r="A5" s="3" t="s">
        <v>161</v>
      </c>
      <c r="B5" s="3" t="n">
        <f aca="false">COUNTIFS(Cases!$F:$F,$A5,Cases!$C:$C,B$1)</f>
        <v>0</v>
      </c>
      <c r="C5" s="3" t="n">
        <f aca="false">COUNTIFS(Cases!$F:$F,$A5,Cases!$C:$C,C$1)</f>
        <v>0</v>
      </c>
      <c r="D5" s="3" t="n">
        <f aca="false">COUNTIFS(Cases!$F:$F,$A5,Cases!$C:$C,D$1)</f>
        <v>0</v>
      </c>
      <c r="E5" s="3" t="n">
        <f aca="false">COUNTIFS(Cases!$F:$F,$A5,Cases!$C:$C,E$1)</f>
        <v>1</v>
      </c>
      <c r="F5" s="3" t="n">
        <f aca="false">COUNTIFS(Cases!$F:$F,$A5,Cases!$C:$C,F$1)</f>
        <v>0</v>
      </c>
      <c r="G5" s="3" t="n">
        <f aca="false">COUNTIFS(Cases!$F:$F,$A5,Cases!$C:$C,G$1)</f>
        <v>0</v>
      </c>
      <c r="H5" s="3" t="n">
        <f aca="false">SUM(B5:G5)</f>
        <v>1</v>
      </c>
    </row>
    <row r="6" customFormat="false" ht="15" hidden="false" customHeight="true" outlineLevel="0" collapsed="false">
      <c r="A6" s="3" t="s">
        <v>106</v>
      </c>
      <c r="B6" s="3" t="n">
        <f aca="false">COUNTIFS(Cases!$F:$F,$A6,Cases!$C:$C,B$1)</f>
        <v>0</v>
      </c>
      <c r="C6" s="3" t="n">
        <f aca="false">COUNTIFS(Cases!$F:$F,$A6,Cases!$C:$C,C$1)</f>
        <v>1</v>
      </c>
      <c r="D6" s="3" t="n">
        <f aca="false">COUNTIFS(Cases!$F:$F,$A6,Cases!$C:$C,D$1)</f>
        <v>0</v>
      </c>
      <c r="E6" s="3" t="n">
        <f aca="false">COUNTIFS(Cases!$F:$F,$A6,Cases!$C:$C,E$1)</f>
        <v>0</v>
      </c>
      <c r="F6" s="3" t="n">
        <f aca="false">COUNTIFS(Cases!$F:$F,$A6,Cases!$C:$C,F$1)</f>
        <v>0</v>
      </c>
      <c r="G6" s="3" t="n">
        <f aca="false">COUNTIFS(Cases!$F:$F,$A6,Cases!$C:$C,G$1)</f>
        <v>0</v>
      </c>
      <c r="H6" s="3" t="n">
        <f aca="false">SUM(B6:G6)</f>
        <v>1</v>
      </c>
    </row>
    <row r="7" customFormat="false" ht="15" hidden="false" customHeight="true" outlineLevel="0" collapsed="false">
      <c r="A7" s="3" t="s">
        <v>150</v>
      </c>
      <c r="B7" s="3" t="n">
        <f aca="false">COUNTIFS(Cases!$F:$F,$A7,Cases!$C:$C,B$1)</f>
        <v>0</v>
      </c>
      <c r="C7" s="3" t="n">
        <f aca="false">COUNTIFS(Cases!$F:$F,$A7,Cases!$C:$C,C$1)</f>
        <v>0</v>
      </c>
      <c r="D7" s="3" t="n">
        <f aca="false">COUNTIFS(Cases!$F:$F,$A7,Cases!$C:$C,D$1)</f>
        <v>1</v>
      </c>
      <c r="E7" s="3" t="n">
        <f aca="false">COUNTIFS(Cases!$F:$F,$A7,Cases!$C:$C,E$1)</f>
        <v>0</v>
      </c>
      <c r="F7" s="3" t="n">
        <f aca="false">COUNTIFS(Cases!$F:$F,$A7,Cases!$C:$C,F$1)</f>
        <v>0</v>
      </c>
      <c r="G7" s="3" t="n">
        <f aca="false">COUNTIFS(Cases!$F:$F,$A7,Cases!$C:$C,G$1)</f>
        <v>0</v>
      </c>
      <c r="H7" s="3" t="n">
        <f aca="false">SUM(B7:G7)</f>
        <v>1</v>
      </c>
    </row>
    <row r="8" customFormat="false" ht="15" hidden="false" customHeight="true" outlineLevel="0" collapsed="false">
      <c r="A8" s="3" t="s">
        <v>116</v>
      </c>
      <c r="B8" s="3" t="n">
        <f aca="false">COUNTIFS(Cases!$F:$F,$A8,Cases!$C:$C,B$1)</f>
        <v>0</v>
      </c>
      <c r="C8" s="3" t="n">
        <f aca="false">COUNTIFS(Cases!$F:$F,$A8,Cases!$C:$C,C$1)</f>
        <v>1</v>
      </c>
      <c r="D8" s="3" t="n">
        <f aca="false">COUNTIFS(Cases!$F:$F,$A8,Cases!$C:$C,D$1)</f>
        <v>0</v>
      </c>
      <c r="E8" s="3" t="n">
        <f aca="false">COUNTIFS(Cases!$F:$F,$A8,Cases!$C:$C,E$1)</f>
        <v>0</v>
      </c>
      <c r="F8" s="3" t="n">
        <f aca="false">COUNTIFS(Cases!$F:$F,$A8,Cases!$C:$C,F$1)</f>
        <v>0</v>
      </c>
      <c r="G8" s="3" t="n">
        <f aca="false">COUNTIFS(Cases!$F:$F,$A8,Cases!$C:$C,G$1)</f>
        <v>1</v>
      </c>
      <c r="H8" s="3" t="n">
        <f aca="false">SUM(B8:G8)</f>
        <v>2</v>
      </c>
    </row>
    <row r="9" customFormat="false" ht="15" hidden="false" customHeight="true" outlineLevel="0" collapsed="false">
      <c r="A9" s="3" t="s">
        <v>56</v>
      </c>
      <c r="B9" s="3" t="n">
        <f aca="false">COUNTIFS(Cases!$F:$F,$A9,Cases!$C:$C,B$1)</f>
        <v>0</v>
      </c>
      <c r="C9" s="3" t="n">
        <f aca="false">COUNTIFS(Cases!$F:$F,$A9,Cases!$C:$C,C$1)</f>
        <v>2</v>
      </c>
      <c r="D9" s="3" t="n">
        <f aca="false">COUNTIFS(Cases!$F:$F,$A9,Cases!$C:$C,D$1)</f>
        <v>0</v>
      </c>
      <c r="E9" s="3" t="n">
        <f aca="false">COUNTIFS(Cases!$F:$F,$A9,Cases!$C:$C,E$1)</f>
        <v>0</v>
      </c>
      <c r="F9" s="3" t="n">
        <f aca="false">COUNTIFS(Cases!$F:$F,$A9,Cases!$C:$C,F$1)</f>
        <v>0</v>
      </c>
      <c r="G9" s="3" t="n">
        <f aca="false">COUNTIFS(Cases!$F:$F,$A9,Cases!$C:$C,G$1)</f>
        <v>13</v>
      </c>
      <c r="H9" s="3" t="n">
        <f aca="false">SUM(B9:G9)</f>
        <v>15</v>
      </c>
    </row>
    <row r="10" customFormat="false" ht="15" hidden="false" customHeight="true" outlineLevel="0" collapsed="false">
      <c r="A10" s="3" t="s">
        <v>96</v>
      </c>
      <c r="B10" s="3" t="n">
        <f aca="false">COUNTIFS(Cases!$F:$F,$A10,Cases!$C:$C,B$1)</f>
        <v>0</v>
      </c>
      <c r="C10" s="3" t="n">
        <f aca="false">COUNTIFS(Cases!$F:$F,$A10,Cases!$C:$C,C$1)</f>
        <v>1</v>
      </c>
      <c r="D10" s="3" t="n">
        <f aca="false">COUNTIFS(Cases!$F:$F,$A10,Cases!$C:$C,D$1)</f>
        <v>0</v>
      </c>
      <c r="E10" s="3" t="n">
        <f aca="false">COUNTIFS(Cases!$F:$F,$A10,Cases!$C:$C,E$1)</f>
        <v>0</v>
      </c>
      <c r="F10" s="3" t="n">
        <f aca="false">COUNTIFS(Cases!$F:$F,$A10,Cases!$C:$C,F$1)</f>
        <v>0</v>
      </c>
      <c r="G10" s="3" t="n">
        <f aca="false">COUNTIFS(Cases!$F:$F,$A10,Cases!$C:$C,G$1)</f>
        <v>7</v>
      </c>
      <c r="H10" s="3" t="n">
        <f aca="false">SUM(B10:G10)</f>
        <v>8</v>
      </c>
    </row>
    <row r="11" customFormat="false" ht="15" hidden="false" customHeight="true" outlineLevel="0" collapsed="false">
      <c r="A11" s="3" t="s">
        <v>204</v>
      </c>
      <c r="B11" s="3" t="n">
        <f aca="false">COUNTIFS(Cases!$F:$F,$A11,Cases!$C:$C,B$1)</f>
        <v>0</v>
      </c>
      <c r="C11" s="3" t="n">
        <f aca="false">COUNTIFS(Cases!$F:$F,$A11,Cases!$C:$C,C$1)</f>
        <v>0</v>
      </c>
      <c r="D11" s="3" t="n">
        <f aca="false">COUNTIFS(Cases!$F:$F,$A11,Cases!$C:$C,D$1)</f>
        <v>0</v>
      </c>
      <c r="E11" s="3" t="n">
        <f aca="false">COUNTIFS(Cases!$F:$F,$A11,Cases!$C:$C,E$1)</f>
        <v>0</v>
      </c>
      <c r="F11" s="3" t="n">
        <f aca="false">COUNTIFS(Cases!$F:$F,$A11,Cases!$C:$C,F$1)</f>
        <v>1</v>
      </c>
      <c r="G11" s="3" t="n">
        <f aca="false">COUNTIFS(Cases!$F:$F,$A11,Cases!$C:$C,G$1)</f>
        <v>0</v>
      </c>
      <c r="H11" s="3" t="n">
        <f aca="false">SUM(B11:G11)</f>
        <v>1</v>
      </c>
    </row>
    <row r="12" customFormat="false" ht="15" hidden="false" customHeight="true" outlineLevel="0" collapsed="false">
      <c r="A12" s="3" t="s">
        <v>180</v>
      </c>
      <c r="B12" s="3" t="n">
        <f aca="false">COUNTIFS(Cases!$F:$F,$A12,Cases!$C:$C,B$1)</f>
        <v>0</v>
      </c>
      <c r="C12" s="3" t="n">
        <f aca="false">COUNTIFS(Cases!$F:$F,$A12,Cases!$C:$C,C$1)</f>
        <v>0</v>
      </c>
      <c r="D12" s="3" t="n">
        <f aca="false">COUNTIFS(Cases!$F:$F,$A12,Cases!$C:$C,D$1)</f>
        <v>0</v>
      </c>
      <c r="E12" s="3" t="n">
        <f aca="false">COUNTIFS(Cases!$F:$F,$A12,Cases!$C:$C,E$1)</f>
        <v>0</v>
      </c>
      <c r="F12" s="3" t="n">
        <f aca="false">COUNTIFS(Cases!$F:$F,$A12,Cases!$C:$C,F$1)</f>
        <v>1</v>
      </c>
      <c r="G12" s="3" t="n">
        <f aca="false">COUNTIFS(Cases!$F:$F,$A12,Cases!$C:$C,G$1)</f>
        <v>0</v>
      </c>
      <c r="H12" s="3" t="n">
        <f aca="false">SUM(B12:G12)</f>
        <v>1</v>
      </c>
    </row>
    <row r="13" customFormat="false" ht="15" hidden="false" customHeight="true" outlineLevel="0" collapsed="false">
      <c r="A13" s="3" t="s">
        <v>124</v>
      </c>
      <c r="B13" s="3" t="n">
        <f aca="false">COUNTIFS(Cases!$F:$F,$A13,Cases!$C:$C,B$1)</f>
        <v>0</v>
      </c>
      <c r="C13" s="3" t="n">
        <f aca="false">COUNTIFS(Cases!$F:$F,$A13,Cases!$C:$C,C$1)</f>
        <v>1</v>
      </c>
      <c r="D13" s="3" t="n">
        <f aca="false">COUNTIFS(Cases!$F:$F,$A13,Cases!$C:$C,D$1)</f>
        <v>0</v>
      </c>
      <c r="E13" s="3" t="n">
        <f aca="false">COUNTIFS(Cases!$F:$F,$A13,Cases!$C:$C,E$1)</f>
        <v>0</v>
      </c>
      <c r="F13" s="3" t="n">
        <f aca="false">COUNTIFS(Cases!$F:$F,$A13,Cases!$C:$C,F$1)</f>
        <v>1</v>
      </c>
      <c r="G13" s="3" t="n">
        <f aca="false">COUNTIFS(Cases!$F:$F,$A13,Cases!$C:$C,G$1)</f>
        <v>0</v>
      </c>
      <c r="H13" s="3" t="n">
        <f aca="false">SUM(B13:G13)</f>
        <v>2</v>
      </c>
    </row>
    <row r="14" customFormat="false" ht="15" hidden="false" customHeight="true" outlineLevel="0" collapsed="false">
      <c r="A14" s="3" t="s">
        <v>170</v>
      </c>
      <c r="B14" s="3" t="n">
        <f aca="false">COUNTIFS(Cases!$F:$F,$A14,Cases!$C:$C,B$1)</f>
        <v>0</v>
      </c>
      <c r="C14" s="3" t="n">
        <f aca="false">COUNTIFS(Cases!$F:$F,$A14,Cases!$C:$C,C$1)</f>
        <v>0</v>
      </c>
      <c r="D14" s="3" t="n">
        <f aca="false">COUNTIFS(Cases!$F:$F,$A14,Cases!$C:$C,D$1)</f>
        <v>0</v>
      </c>
      <c r="E14" s="3" t="n">
        <f aca="false">COUNTIFS(Cases!$F:$F,$A14,Cases!$C:$C,E$1)</f>
        <v>0</v>
      </c>
      <c r="F14" s="3" t="n">
        <f aca="false">COUNTIFS(Cases!$F:$F,$A14,Cases!$C:$C,F$1)</f>
        <v>1</v>
      </c>
      <c r="G14" s="3" t="n">
        <f aca="false">COUNTIFS(Cases!$F:$F,$A14,Cases!$C:$C,G$1)</f>
        <v>0</v>
      </c>
      <c r="H14" s="3" t="n">
        <f aca="false">SUM(B14:G14)</f>
        <v>1</v>
      </c>
    </row>
    <row r="15" customFormat="false" ht="15" hidden="false" customHeight="true" outlineLevel="0" collapsed="false">
      <c r="A15" s="3" t="s">
        <v>134</v>
      </c>
      <c r="B15" s="3" t="n">
        <f aca="false">COUNTIFS(Cases!$F:$F,$A15,Cases!$C:$C,B$1)</f>
        <v>0</v>
      </c>
      <c r="C15" s="3" t="n">
        <f aca="false">COUNTIFS(Cases!$F:$F,$A15,Cases!$C:$C,C$1)</f>
        <v>1</v>
      </c>
      <c r="D15" s="3" t="n">
        <f aca="false">COUNTIFS(Cases!$F:$F,$A15,Cases!$C:$C,D$1)</f>
        <v>0</v>
      </c>
      <c r="E15" s="3" t="n">
        <f aca="false">COUNTIFS(Cases!$F:$F,$A15,Cases!$C:$C,E$1)</f>
        <v>0</v>
      </c>
      <c r="F15" s="3" t="n">
        <f aca="false">COUNTIFS(Cases!$F:$F,$A15,Cases!$C:$C,F$1)</f>
        <v>0</v>
      </c>
      <c r="G15" s="3" t="n">
        <f aca="false">COUNTIFS(Cases!$F:$F,$A15,Cases!$C:$C,G$1)</f>
        <v>1</v>
      </c>
      <c r="H15" s="3" t="n">
        <f aca="false">SUM(B15:G15)</f>
        <v>2</v>
      </c>
    </row>
    <row r="16" customFormat="false" ht="15" hidden="false" customHeight="true" outlineLevel="0" collapsed="false">
      <c r="A16" s="3" t="s">
        <v>77</v>
      </c>
      <c r="B16" s="3" t="n">
        <f aca="false">COUNTIFS(Cases!$F:$F,$A16,Cases!$C:$C,B$1)</f>
        <v>0</v>
      </c>
      <c r="C16" s="3" t="n">
        <f aca="false">COUNTIFS(Cases!$F:$F,$A16,Cases!$C:$C,C$1)</f>
        <v>1</v>
      </c>
      <c r="D16" s="3" t="n">
        <f aca="false">COUNTIFS(Cases!$F:$F,$A16,Cases!$C:$C,D$1)</f>
        <v>0</v>
      </c>
      <c r="E16" s="3" t="n">
        <f aca="false">COUNTIFS(Cases!$F:$F,$A16,Cases!$C:$C,E$1)</f>
        <v>0</v>
      </c>
      <c r="F16" s="3" t="n">
        <f aca="false">COUNTIFS(Cases!$F:$F,$A16,Cases!$C:$C,F$1)</f>
        <v>0</v>
      </c>
      <c r="G16" s="3" t="n">
        <f aca="false">COUNTIFS(Cases!$F:$F,$A16,Cases!$C:$C,G$1)</f>
        <v>9</v>
      </c>
      <c r="H16" s="3" t="n">
        <f aca="false">SUM(B16:G16)</f>
        <v>10</v>
      </c>
    </row>
    <row r="17" customFormat="false" ht="15" hidden="false" customHeight="true" outlineLevel="0" collapsed="false">
      <c r="A17" s="3" t="s">
        <v>199</v>
      </c>
      <c r="B17" s="3" t="n">
        <f aca="false">COUNTIFS(Cases!$F:$F,$A17,Cases!$C:$C,B$1)</f>
        <v>0</v>
      </c>
      <c r="C17" s="3" t="n">
        <f aca="false">COUNTIFS(Cases!$F:$F,$A17,Cases!$C:$C,C$1)</f>
        <v>0</v>
      </c>
      <c r="D17" s="3" t="n">
        <f aca="false">COUNTIFS(Cases!$F:$F,$A17,Cases!$C:$C,D$1)</f>
        <v>0</v>
      </c>
      <c r="E17" s="3" t="n">
        <f aca="false">COUNTIFS(Cases!$F:$F,$A17,Cases!$C:$C,E$1)</f>
        <v>0</v>
      </c>
      <c r="F17" s="3" t="n">
        <f aca="false">COUNTIFS(Cases!$F:$F,$A17,Cases!$C:$C,F$1)</f>
        <v>1</v>
      </c>
      <c r="G17" s="3" t="n">
        <f aca="false">COUNTIFS(Cases!$F:$F,$A17,Cases!$C:$C,G$1)</f>
        <v>0</v>
      </c>
      <c r="H17" s="3" t="n">
        <f aca="false">SUM(B17:G17)</f>
        <v>1</v>
      </c>
    </row>
    <row r="18" customFormat="false" ht="15" hidden="false" customHeight="true" outlineLevel="0" collapsed="false">
      <c r="A18" s="3" t="s">
        <v>142</v>
      </c>
      <c r="B18" s="3" t="n">
        <f aca="false">COUNTIFS(Cases!$F:$F,$A18,Cases!$C:$C,B$1)</f>
        <v>0</v>
      </c>
      <c r="C18" s="3" t="n">
        <f aca="false">COUNTIFS(Cases!$F:$F,$A18,Cases!$C:$C,C$1)</f>
        <v>1</v>
      </c>
      <c r="D18" s="3" t="n">
        <f aca="false">COUNTIFS(Cases!$F:$F,$A18,Cases!$C:$C,D$1)</f>
        <v>0</v>
      </c>
      <c r="E18" s="3" t="n">
        <f aca="false">COUNTIFS(Cases!$F:$F,$A18,Cases!$C:$C,E$1)</f>
        <v>0</v>
      </c>
      <c r="F18" s="3" t="n">
        <f aca="false">COUNTIFS(Cases!$F:$F,$A18,Cases!$C:$C,F$1)</f>
        <v>0</v>
      </c>
      <c r="G18" s="3" t="n">
        <f aca="false">COUNTIFS(Cases!$F:$F,$A18,Cases!$C:$C,G$1)</f>
        <v>2</v>
      </c>
      <c r="H18" s="3" t="n">
        <f aca="false">SUM(B18:G18)</f>
        <v>3</v>
      </c>
    </row>
    <row r="19" customFormat="false" ht="15" hidden="false" customHeight="true" outlineLevel="0" collapsed="false">
      <c r="A19" s="4" t="s">
        <v>608</v>
      </c>
      <c r="B19" s="4" t="n">
        <f aca="false">SUM(B2:B18)</f>
        <v>1</v>
      </c>
      <c r="C19" s="4" t="n">
        <f aca="false">SUM(C2:C18)</f>
        <v>10</v>
      </c>
      <c r="D19" s="4" t="n">
        <f aca="false">SUM(D2:D18)</f>
        <v>1</v>
      </c>
      <c r="E19" s="4" t="n">
        <f aca="false">SUM(E2:E18)</f>
        <v>1</v>
      </c>
      <c r="F19" s="4" t="n">
        <f aca="false">SUM(F2:F18)</f>
        <v>7</v>
      </c>
      <c r="G19" s="4" t="n">
        <f aca="false">SUM(G2:G18)</f>
        <v>68</v>
      </c>
      <c r="H19" s="4" t="n">
        <f aca="false">SUM(H2:H18)</f>
        <v>88</v>
      </c>
    </row>
    <row r="20" customFormat="false" ht="15" hidden="false" customHeight="true" outlineLevel="0" collapsed="false">
      <c r="A20" s="3"/>
      <c r="B20" s="3"/>
      <c r="C20" s="3"/>
      <c r="D20" s="3"/>
      <c r="E20" s="3"/>
      <c r="F20" s="3"/>
      <c r="G20" s="3"/>
      <c r="H20" s="3"/>
    </row>
    <row r="21" customFormat="false" ht="15" hidden="false" customHeight="true" outlineLevel="0" collapsed="false">
      <c r="A21" s="4" t="s">
        <v>609</v>
      </c>
      <c r="B21" s="3"/>
      <c r="C21" s="3"/>
      <c r="D21" s="3"/>
      <c r="E21" s="3"/>
      <c r="F21" s="3"/>
      <c r="G21" s="3"/>
      <c r="H21" s="3"/>
    </row>
    <row r="22" customFormat="false" ht="15" hidden="false" customHeight="true" outlineLevel="0" collapsed="false">
      <c r="A22" s="3" t="s">
        <v>215</v>
      </c>
      <c r="B22" s="3" t="n">
        <f aca="false">COUNTIFS(Cases!$C:$C,"Candidate - not screened",Cases!$M:$M,A22)</f>
        <v>34</v>
      </c>
      <c r="C22" s="3"/>
      <c r="D22" s="3"/>
      <c r="E22" s="3"/>
      <c r="F22" s="3"/>
      <c r="G22" s="3"/>
      <c r="H22" s="3"/>
    </row>
    <row r="23" customFormat="false" ht="15" hidden="false" customHeight="true" outlineLevel="0" collapsed="false">
      <c r="A23" s="3" t="s">
        <v>187</v>
      </c>
      <c r="B23" s="3" t="n">
        <f aca="false">COUNTIFS(Cases!$C:$C,"Candidate - not screened",Cases!$M:$M,A23)</f>
        <v>5</v>
      </c>
      <c r="C23" s="3"/>
      <c r="D23" s="3"/>
      <c r="E23" s="3"/>
      <c r="F23" s="3"/>
      <c r="G23" s="3"/>
      <c r="H23" s="3"/>
    </row>
    <row r="24" customFormat="false" ht="15" hidden="false" customHeight="true" outlineLevel="0" collapsed="false">
      <c r="A24" s="3" t="s">
        <v>195</v>
      </c>
      <c r="B24" s="3" t="n">
        <f aca="false">COUNTIFS(Cases!$C:$C,"Candidate - not screened",Cases!$M:$M,A24)</f>
        <v>29</v>
      </c>
      <c r="C24" s="3"/>
      <c r="D24" s="3"/>
      <c r="E24" s="3"/>
      <c r="F24" s="3"/>
      <c r="G24" s="3"/>
      <c r="H24" s="3"/>
    </row>
    <row r="25" customFormat="false" ht="15" hidden="false" customHeight="true" outlineLevel="0" collapsed="false">
      <c r="A25" s="3" t="s">
        <v>164</v>
      </c>
      <c r="B25" s="3" t="n">
        <f aca="false">COUNTIFS(Cases!$C:$C,"Candidate - not screened",Cases!$M:$M,A25)</f>
        <v>0</v>
      </c>
      <c r="C25" s="3"/>
      <c r="D25" s="3"/>
      <c r="E25" s="3"/>
      <c r="F25" s="3"/>
      <c r="G25" s="3"/>
      <c r="H25"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S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1" min="1" style="1" width="32"/>
    <col collapsed="false" customWidth="true" hidden="false" outlineLevel="0" max="12" min="12" style="1" width="14"/>
    <col collapsed="false" customWidth="true" hidden="false" outlineLevel="0" max="27" min="13" style="1" width="32"/>
    <col collapsed="false" customWidth="true" hidden="false" outlineLevel="0" max="28" min="28" style="1" width="14"/>
    <col collapsed="false" customWidth="true" hidden="false" outlineLevel="0" max="38" min="29" style="1" width="32"/>
    <col collapsed="false" customWidth="true" hidden="false" outlineLevel="0" max="42" min="39" style="1" width="14"/>
    <col collapsed="false" customWidth="true" hidden="false" outlineLevel="0" max="47" min="43" style="1" width="32"/>
    <col collapsed="false" customWidth="true" hidden="false" outlineLevel="0" max="50" min="48" style="1" width="60"/>
    <col collapsed="false" customWidth="true" hidden="false" outlineLevel="0" max="51" min="51" style="1" width="14"/>
    <col collapsed="false" customWidth="true" hidden="false" outlineLevel="0" max="52" min="52" style="1" width="32"/>
    <col collapsed="false" customWidth="true" hidden="false" outlineLevel="0" max="53" min="53" style="1" width="14"/>
    <col collapsed="false" customWidth="true" hidden="false" outlineLevel="0" max="54" min="54" style="1" width="32"/>
    <col collapsed="false" customWidth="true" hidden="false" outlineLevel="0" max="55" min="55" style="1" width="14"/>
    <col collapsed="false" customWidth="true" hidden="false" outlineLevel="0" max="56" min="56" style="1" width="32"/>
    <col collapsed="false" customWidth="true" hidden="false" outlineLevel="0" max="57" min="57" style="1" width="14"/>
    <col collapsed="false" customWidth="true" hidden="false" outlineLevel="0" max="58" min="58" style="1" width="32"/>
    <col collapsed="false" customWidth="true" hidden="false" outlineLevel="0" max="59" min="59" style="1" width="14"/>
    <col collapsed="false" customWidth="true" hidden="false" outlineLevel="0" max="60" min="60" style="1" width="32"/>
    <col collapsed="false" customWidth="true" hidden="false" outlineLevel="0" max="61" min="61" style="1" width="14"/>
    <col collapsed="false" customWidth="true" hidden="false" outlineLevel="0" max="62" min="62" style="1" width="32"/>
    <col collapsed="false" customWidth="true" hidden="false" outlineLevel="0" max="63" min="63" style="1" width="14"/>
    <col collapsed="false" customWidth="true" hidden="false" outlineLevel="0" max="64" min="64" style="1" width="32"/>
    <col collapsed="false" customWidth="true" hidden="false" outlineLevel="0" max="65" min="65" style="1" width="14"/>
    <col collapsed="false" customWidth="true" hidden="false" outlineLevel="0" max="66" min="66" style="1" width="32"/>
    <col collapsed="false" customWidth="true" hidden="false" outlineLevel="0" max="67" min="67" style="1" width="14"/>
    <col collapsed="false" customWidth="true" hidden="false" outlineLevel="0" max="68" min="68" style="1" width="32"/>
    <col collapsed="false" customWidth="true" hidden="false" outlineLevel="0" max="69" min="69" style="1" width="14"/>
    <col collapsed="false" customWidth="true" hidden="false" outlineLevel="0" max="70" min="70" style="1" width="32"/>
    <col collapsed="false" customWidth="true" hidden="false" outlineLevel="0" max="71" min="71" style="1" width="14"/>
    <col collapsed="false" customWidth="true" hidden="false" outlineLevel="0" max="72" min="72" style="1" width="32"/>
    <col collapsed="false" customWidth="true" hidden="false" outlineLevel="0" max="73" min="73" style="1" width="14"/>
    <col collapsed="false" customWidth="true" hidden="false" outlineLevel="0" max="74" min="74" style="1" width="32"/>
    <col collapsed="false" customWidth="true" hidden="false" outlineLevel="0" max="75" min="75" style="1" width="14"/>
    <col collapsed="false" customWidth="true" hidden="false" outlineLevel="0" max="76" min="76" style="1" width="32"/>
    <col collapsed="false" customWidth="true" hidden="false" outlineLevel="0" max="77" min="77" style="1" width="14"/>
    <col collapsed="false" customWidth="true" hidden="false" outlineLevel="0" max="78" min="78" style="1" width="32"/>
    <col collapsed="false" customWidth="true" hidden="false" outlineLevel="0" max="79" min="79" style="1" width="14"/>
    <col collapsed="false" customWidth="true" hidden="false" outlineLevel="0" max="80" min="80" style="1" width="32"/>
    <col collapsed="false" customWidth="true" hidden="false" outlineLevel="0" max="81" min="81" style="1" width="14"/>
    <col collapsed="false" customWidth="true" hidden="false" outlineLevel="0" max="83" min="82" style="1" width="32"/>
    <col collapsed="false" customWidth="true" hidden="false" outlineLevel="0" max="84" min="84" style="1" width="14"/>
    <col collapsed="false" customWidth="true" hidden="false" outlineLevel="0" max="85" min="85" style="1" width="32"/>
    <col collapsed="false" customWidth="true" hidden="false" outlineLevel="0" max="86" min="86" style="1" width="14"/>
    <col collapsed="false" customWidth="true" hidden="false" outlineLevel="0" max="87" min="87" style="1" width="32"/>
    <col collapsed="false" customWidth="true" hidden="false" outlineLevel="0" max="88" min="88" style="1" width="14"/>
    <col collapsed="false" customWidth="true" hidden="false" outlineLevel="0" max="89" min="89" style="1" width="32"/>
    <col collapsed="false" customWidth="true" hidden="false" outlineLevel="0" max="90" min="90" style="1" width="14"/>
    <col collapsed="false" customWidth="true" hidden="false" outlineLevel="0" max="91" min="91" style="1" width="32"/>
    <col collapsed="false" customWidth="true" hidden="false" outlineLevel="0" max="92" min="92" style="1" width="14"/>
    <col collapsed="false" customWidth="true" hidden="false" outlineLevel="0" max="93" min="93" style="1" width="32"/>
    <col collapsed="false" customWidth="true" hidden="false" outlineLevel="0" max="94" min="94" style="1" width="14"/>
    <col collapsed="false" customWidth="true" hidden="false" outlineLevel="0" max="95" min="95" style="1" width="32"/>
    <col collapsed="false" customWidth="true" hidden="false" outlineLevel="0" max="96" min="96" style="1" width="14"/>
    <col collapsed="false" customWidth="true" hidden="false" outlineLevel="0" max="97" min="97" style="1" width="32"/>
    <col collapsed="false" customWidth="true" hidden="false" outlineLevel="0" max="98" min="98" style="1" width="14"/>
    <col collapsed="false" customWidth="true" hidden="false" outlineLevel="0" max="99" min="99" style="1" width="32"/>
    <col collapsed="false" customWidth="true" hidden="false" outlineLevel="0" max="100" min="100" style="1" width="14"/>
    <col collapsed="false" customWidth="true" hidden="false" outlineLevel="0" max="101" min="101" style="1" width="32"/>
    <col collapsed="false" customWidth="true" hidden="false" outlineLevel="0" max="102" min="102" style="1" width="14"/>
    <col collapsed="false" customWidth="true" hidden="false" outlineLevel="0" max="103" min="103" style="1" width="32"/>
    <col collapsed="false" customWidth="true" hidden="false" outlineLevel="0" max="104" min="104" style="1" width="14"/>
    <col collapsed="false" customWidth="true" hidden="false" outlineLevel="0" max="105" min="105" style="1" width="32"/>
    <col collapsed="false" customWidth="true" hidden="false" outlineLevel="0" max="106" min="106" style="1" width="14"/>
    <col collapsed="false" customWidth="true" hidden="false" outlineLevel="0" max="107" min="107" style="1" width="32"/>
    <col collapsed="false" customWidth="true" hidden="false" outlineLevel="0" max="108" min="108" style="1" width="14"/>
    <col collapsed="false" customWidth="true" hidden="false" outlineLevel="0" max="109" min="109" style="1" width="32"/>
    <col collapsed="false" customWidth="true" hidden="false" outlineLevel="0" max="110" min="110" style="1" width="14"/>
    <col collapsed="false" customWidth="true" hidden="false" outlineLevel="0" max="111" min="111" style="1" width="32"/>
    <col collapsed="false" customWidth="true" hidden="false" outlineLevel="0" max="112" min="112" style="1" width="14"/>
    <col collapsed="false" customWidth="true" hidden="false" outlineLevel="0" max="113" min="113" style="1" width="32"/>
    <col collapsed="false" customWidth="true" hidden="false" outlineLevel="0" max="114" min="114" style="1" width="14"/>
    <col collapsed="false" customWidth="true" hidden="false" outlineLevel="0" max="115" min="115" style="1" width="32"/>
    <col collapsed="false" customWidth="true" hidden="false" outlineLevel="0" max="116" min="116" style="1" width="14"/>
    <col collapsed="false" customWidth="true" hidden="false" outlineLevel="0" max="117" min="117" style="1" width="32"/>
    <col collapsed="false" customWidth="true" hidden="false" outlineLevel="0" max="118" min="118" style="1" width="14"/>
    <col collapsed="false" customWidth="true" hidden="false" outlineLevel="0" max="119" min="119" style="1" width="32"/>
    <col collapsed="false" customWidth="true" hidden="false" outlineLevel="0" max="120" min="120" style="1" width="14"/>
    <col collapsed="false" customWidth="true" hidden="false" outlineLevel="0" max="121" min="121" style="1" width="32"/>
    <col collapsed="false" customWidth="true" hidden="false" outlineLevel="0" max="122" min="122" style="1" width="14"/>
    <col collapsed="false" customWidth="true" hidden="false" outlineLevel="0" max="123" min="123" style="1" width="32"/>
  </cols>
  <sheetData>
    <row r="1" customFormat="false" ht="15" hidden="false" customHeight="true" outlineLevel="0" collapsed="false">
      <c r="A1" s="20" t="s">
        <v>610</v>
      </c>
      <c r="B1" s="20"/>
      <c r="C1" s="20"/>
      <c r="D1" s="20"/>
      <c r="E1" s="20" t="s">
        <v>611</v>
      </c>
      <c r="F1" s="20"/>
      <c r="G1" s="20"/>
      <c r="H1" s="20"/>
      <c r="I1" s="20"/>
      <c r="J1" s="20"/>
      <c r="K1" s="20"/>
      <c r="L1" s="20" t="s">
        <v>612</v>
      </c>
      <c r="M1" s="20"/>
      <c r="N1" s="20"/>
      <c r="O1" s="20"/>
      <c r="P1" s="20"/>
      <c r="Q1" s="20"/>
      <c r="R1" s="20"/>
      <c r="S1" s="20"/>
      <c r="T1" s="20"/>
      <c r="U1" s="20"/>
      <c r="V1" s="20" t="s">
        <v>613</v>
      </c>
      <c r="W1" s="20"/>
      <c r="X1" s="20"/>
      <c r="Y1" s="20"/>
      <c r="Z1" s="20"/>
      <c r="AA1" s="20"/>
      <c r="AB1" s="20"/>
      <c r="AC1" s="20"/>
      <c r="AD1" s="20"/>
      <c r="AE1" s="20"/>
      <c r="AF1" s="20"/>
      <c r="AG1" s="20"/>
      <c r="AH1" s="20"/>
      <c r="AI1" s="20"/>
      <c r="AJ1" s="20" t="s">
        <v>614</v>
      </c>
      <c r="AK1" s="20"/>
      <c r="AL1" s="20"/>
      <c r="AM1" s="20" t="s">
        <v>615</v>
      </c>
      <c r="AN1" s="20"/>
      <c r="AO1" s="20"/>
      <c r="AP1" s="20"/>
      <c r="AQ1" s="20"/>
      <c r="AR1" s="20"/>
      <c r="AS1" s="20"/>
      <c r="AT1" s="20"/>
      <c r="AU1" s="20"/>
      <c r="AV1" s="20" t="s">
        <v>616</v>
      </c>
      <c r="AW1" s="20"/>
      <c r="AX1" s="20"/>
      <c r="AY1" s="20" t="s">
        <v>617</v>
      </c>
      <c r="AZ1" s="20"/>
      <c r="BA1" s="20"/>
      <c r="BB1" s="20"/>
      <c r="BC1" s="20"/>
      <c r="BD1" s="20"/>
      <c r="BE1" s="20"/>
      <c r="BF1" s="20"/>
      <c r="BG1" s="20"/>
      <c r="BH1" s="20"/>
      <c r="BI1" s="20"/>
      <c r="BJ1" s="20"/>
      <c r="BK1" s="20"/>
      <c r="BL1" s="20"/>
      <c r="BM1" s="20"/>
      <c r="BN1" s="20"/>
      <c r="BO1" s="20"/>
      <c r="BP1" s="20"/>
      <c r="BQ1" s="20"/>
      <c r="BR1" s="20"/>
      <c r="BS1" s="20"/>
      <c r="BT1" s="20"/>
      <c r="BU1" s="20"/>
      <c r="BV1" s="20"/>
      <c r="BW1" s="20"/>
      <c r="BX1" s="20"/>
      <c r="BY1" s="20"/>
      <c r="BZ1" s="20"/>
      <c r="CA1" s="20"/>
      <c r="CB1" s="20"/>
      <c r="CC1" s="20"/>
      <c r="CD1" s="20"/>
      <c r="CE1" s="20"/>
      <c r="CF1" s="20" t="s">
        <v>618</v>
      </c>
      <c r="CG1" s="20"/>
      <c r="CH1" s="20"/>
      <c r="CI1" s="20"/>
      <c r="CJ1" s="20"/>
      <c r="CK1" s="20"/>
      <c r="CL1" s="20"/>
      <c r="CM1" s="20"/>
      <c r="CN1" s="20"/>
      <c r="CO1" s="20"/>
      <c r="CP1" s="20"/>
      <c r="CQ1" s="20"/>
      <c r="CR1" s="20"/>
      <c r="CS1" s="20"/>
      <c r="CT1" s="20"/>
      <c r="CU1" s="20"/>
      <c r="CV1" s="20"/>
      <c r="CW1" s="20"/>
      <c r="CX1" s="20"/>
      <c r="CY1" s="20"/>
      <c r="CZ1" s="20" t="s">
        <v>619</v>
      </c>
      <c r="DA1" s="20"/>
      <c r="DB1" s="20"/>
      <c r="DC1" s="20"/>
      <c r="DD1" s="20"/>
      <c r="DE1" s="20"/>
      <c r="DF1" s="20"/>
      <c r="DG1" s="20"/>
      <c r="DH1" s="20"/>
      <c r="DI1" s="20"/>
      <c r="DJ1" s="20"/>
      <c r="DK1" s="20"/>
      <c r="DL1" s="20"/>
      <c r="DM1" s="20"/>
      <c r="DN1" s="20"/>
      <c r="DO1" s="20"/>
      <c r="DP1" s="20"/>
      <c r="DQ1" s="20"/>
      <c r="DR1" s="21" t="s">
        <v>620</v>
      </c>
      <c r="DS1" s="21" t="s">
        <v>621</v>
      </c>
    </row>
    <row r="2" customFormat="false" ht="102" hidden="false" customHeight="true" outlineLevel="0" collapsed="false">
      <c r="A2" s="22" t="s">
        <v>622</v>
      </c>
      <c r="B2" s="22" t="s">
        <v>623</v>
      </c>
      <c r="C2" s="22" t="s">
        <v>624</v>
      </c>
      <c r="D2" s="22" t="s">
        <v>625</v>
      </c>
      <c r="E2" s="22" t="s">
        <v>626</v>
      </c>
      <c r="F2" s="22" t="s">
        <v>627</v>
      </c>
      <c r="G2" s="22" t="s">
        <v>628</v>
      </c>
      <c r="H2" s="22" t="s">
        <v>629</v>
      </c>
      <c r="I2" s="22" t="s">
        <v>630</v>
      </c>
      <c r="J2" s="22" t="s">
        <v>631</v>
      </c>
      <c r="K2" s="22" t="s">
        <v>632</v>
      </c>
      <c r="L2" s="22" t="s">
        <v>633</v>
      </c>
      <c r="M2" s="22" t="s">
        <v>634</v>
      </c>
      <c r="N2" s="22" t="s">
        <v>635</v>
      </c>
      <c r="O2" s="22" t="s">
        <v>636</v>
      </c>
      <c r="P2" s="22" t="s">
        <v>637</v>
      </c>
      <c r="Q2" s="22" t="s">
        <v>638</v>
      </c>
      <c r="R2" s="22" t="s">
        <v>639</v>
      </c>
      <c r="S2" s="22" t="s">
        <v>640</v>
      </c>
      <c r="T2" s="22" t="s">
        <v>641</v>
      </c>
      <c r="U2" s="22" t="s">
        <v>642</v>
      </c>
      <c r="V2" s="22" t="s">
        <v>643</v>
      </c>
      <c r="W2" s="22" t="s">
        <v>644</v>
      </c>
      <c r="X2" s="22" t="s">
        <v>645</v>
      </c>
      <c r="Y2" s="22" t="s">
        <v>646</v>
      </c>
      <c r="Z2" s="22" t="s">
        <v>647</v>
      </c>
      <c r="AA2" s="22" t="s">
        <v>648</v>
      </c>
      <c r="AB2" s="22" t="s">
        <v>649</v>
      </c>
      <c r="AC2" s="22" t="s">
        <v>650</v>
      </c>
      <c r="AD2" s="22" t="s">
        <v>651</v>
      </c>
      <c r="AE2" s="22" t="s">
        <v>652</v>
      </c>
      <c r="AF2" s="22" t="s">
        <v>653</v>
      </c>
      <c r="AG2" s="22" t="s">
        <v>654</v>
      </c>
      <c r="AH2" s="22" t="s">
        <v>655</v>
      </c>
      <c r="AI2" s="22" t="s">
        <v>656</v>
      </c>
      <c r="AJ2" s="22" t="s">
        <v>657</v>
      </c>
      <c r="AK2" s="22" t="s">
        <v>658</v>
      </c>
      <c r="AL2" s="22" t="s">
        <v>659</v>
      </c>
      <c r="AM2" s="22" t="s">
        <v>660</v>
      </c>
      <c r="AN2" s="22" t="s">
        <v>661</v>
      </c>
      <c r="AO2" s="22" t="s">
        <v>662</v>
      </c>
      <c r="AP2" s="22" t="s">
        <v>663</v>
      </c>
      <c r="AQ2" s="22" t="s">
        <v>664</v>
      </c>
      <c r="AR2" s="22" t="s">
        <v>665</v>
      </c>
      <c r="AS2" s="22" t="s">
        <v>666</v>
      </c>
      <c r="AT2" s="22" t="s">
        <v>667</v>
      </c>
      <c r="AU2" s="22" t="s">
        <v>668</v>
      </c>
      <c r="AV2" s="22" t="s">
        <v>669</v>
      </c>
      <c r="AW2" s="22" t="s">
        <v>670</v>
      </c>
      <c r="AX2" s="22" t="s">
        <v>671</v>
      </c>
      <c r="AY2" s="22" t="s">
        <v>672</v>
      </c>
      <c r="AZ2" s="22" t="s">
        <v>673</v>
      </c>
      <c r="BA2" s="22" t="s">
        <v>674</v>
      </c>
      <c r="BB2" s="22" t="s">
        <v>675</v>
      </c>
      <c r="BC2" s="22" t="s">
        <v>676</v>
      </c>
      <c r="BD2" s="22" t="s">
        <v>677</v>
      </c>
      <c r="BE2" s="22" t="s">
        <v>678</v>
      </c>
      <c r="BF2" s="22" t="s">
        <v>679</v>
      </c>
      <c r="BG2" s="22" t="s">
        <v>680</v>
      </c>
      <c r="BH2" s="22" t="s">
        <v>681</v>
      </c>
      <c r="BI2" s="22" t="s">
        <v>682</v>
      </c>
      <c r="BJ2" s="22" t="s">
        <v>683</v>
      </c>
      <c r="BK2" s="22" t="s">
        <v>684</v>
      </c>
      <c r="BL2" s="22" t="s">
        <v>685</v>
      </c>
      <c r="BM2" s="22" t="s">
        <v>686</v>
      </c>
      <c r="BN2" s="22" t="s">
        <v>687</v>
      </c>
      <c r="BO2" s="22" t="s">
        <v>688</v>
      </c>
      <c r="BP2" s="22" t="s">
        <v>689</v>
      </c>
      <c r="BQ2" s="22" t="s">
        <v>690</v>
      </c>
      <c r="BR2" s="22" t="s">
        <v>691</v>
      </c>
      <c r="BS2" s="22" t="s">
        <v>692</v>
      </c>
      <c r="BT2" s="22" t="s">
        <v>693</v>
      </c>
      <c r="BU2" s="22" t="s">
        <v>694</v>
      </c>
      <c r="BV2" s="22" t="s">
        <v>695</v>
      </c>
      <c r="BW2" s="22" t="s">
        <v>696</v>
      </c>
      <c r="BX2" s="22" t="s">
        <v>697</v>
      </c>
      <c r="BY2" s="22" t="s">
        <v>698</v>
      </c>
      <c r="BZ2" s="22" t="s">
        <v>699</v>
      </c>
      <c r="CA2" s="22" t="s">
        <v>700</v>
      </c>
      <c r="CB2" s="22" t="s">
        <v>701</v>
      </c>
      <c r="CC2" s="22" t="s">
        <v>702</v>
      </c>
      <c r="CD2" s="22" t="s">
        <v>703</v>
      </c>
      <c r="CE2" s="22" t="s">
        <v>704</v>
      </c>
      <c r="CF2" s="22" t="s">
        <v>705</v>
      </c>
      <c r="CG2" s="22" t="s">
        <v>706</v>
      </c>
      <c r="CH2" s="22" t="s">
        <v>707</v>
      </c>
      <c r="CI2" s="22" t="s">
        <v>708</v>
      </c>
      <c r="CJ2" s="22" t="s">
        <v>709</v>
      </c>
      <c r="CK2" s="22" t="s">
        <v>710</v>
      </c>
      <c r="CL2" s="22" t="s">
        <v>711</v>
      </c>
      <c r="CM2" s="22" t="s">
        <v>712</v>
      </c>
      <c r="CN2" s="22" t="s">
        <v>713</v>
      </c>
      <c r="CO2" s="22" t="s">
        <v>714</v>
      </c>
      <c r="CP2" s="22" t="s">
        <v>715</v>
      </c>
      <c r="CQ2" s="22" t="s">
        <v>716</v>
      </c>
      <c r="CR2" s="22" t="s">
        <v>717</v>
      </c>
      <c r="CS2" s="22" t="s">
        <v>718</v>
      </c>
      <c r="CT2" s="22" t="s">
        <v>719</v>
      </c>
      <c r="CU2" s="22" t="s">
        <v>720</v>
      </c>
      <c r="CV2" s="22" t="s">
        <v>721</v>
      </c>
      <c r="CW2" s="22" t="s">
        <v>722</v>
      </c>
      <c r="CX2" s="22" t="s">
        <v>723</v>
      </c>
      <c r="CY2" s="22" t="s">
        <v>724</v>
      </c>
      <c r="CZ2" s="22" t="s">
        <v>725</v>
      </c>
      <c r="DA2" s="22" t="s">
        <v>726</v>
      </c>
      <c r="DB2" s="22" t="s">
        <v>727</v>
      </c>
      <c r="DC2" s="22" t="s">
        <v>728</v>
      </c>
      <c r="DD2" s="22" t="s">
        <v>729</v>
      </c>
      <c r="DE2" s="22" t="s">
        <v>730</v>
      </c>
      <c r="DF2" s="22" t="s">
        <v>731</v>
      </c>
      <c r="DG2" s="22" t="s">
        <v>732</v>
      </c>
      <c r="DH2" s="22" t="s">
        <v>733</v>
      </c>
      <c r="DI2" s="22" t="s">
        <v>734</v>
      </c>
      <c r="DJ2" s="22" t="s">
        <v>735</v>
      </c>
      <c r="DK2" s="22" t="s">
        <v>736</v>
      </c>
      <c r="DL2" s="22" t="s">
        <v>737</v>
      </c>
      <c r="DM2" s="22" t="s">
        <v>738</v>
      </c>
      <c r="DN2" s="22" t="s">
        <v>739</v>
      </c>
      <c r="DO2" s="22" t="s">
        <v>740</v>
      </c>
      <c r="DP2" s="22" t="s">
        <v>741</v>
      </c>
      <c r="DQ2" s="22" t="s">
        <v>742</v>
      </c>
      <c r="DR2" s="22" t="s">
        <v>743</v>
      </c>
      <c r="DS2" s="22" t="s">
        <v>744</v>
      </c>
    </row>
    <row r="3" customFormat="false" ht="120" hidden="false" customHeight="true" outlineLevel="0" collapsed="false">
      <c r="A3" s="3" t="s">
        <v>745</v>
      </c>
      <c r="B3" s="3" t="s">
        <v>746</v>
      </c>
      <c r="C3" s="3" t="s">
        <v>747</v>
      </c>
      <c r="D3" s="3" t="s">
        <v>748</v>
      </c>
      <c r="E3" s="3" t="s">
        <v>749</v>
      </c>
      <c r="F3" s="3" t="s">
        <v>750</v>
      </c>
      <c r="G3" s="23" t="s">
        <v>751</v>
      </c>
      <c r="H3" s="3" t="s">
        <v>752</v>
      </c>
      <c r="I3" s="3" t="s">
        <v>753</v>
      </c>
      <c r="J3" s="3" t="s">
        <v>754</v>
      </c>
      <c r="K3" s="3" t="s">
        <v>755</v>
      </c>
      <c r="L3" s="3" t="n">
        <v>1</v>
      </c>
      <c r="M3" s="23" t="s">
        <v>42</v>
      </c>
      <c r="N3" s="3" t="s">
        <v>41</v>
      </c>
      <c r="O3" s="3" t="s">
        <v>756</v>
      </c>
      <c r="P3" s="3" t="s">
        <v>757</v>
      </c>
      <c r="Q3" s="3" t="s">
        <v>758</v>
      </c>
      <c r="R3" s="3" t="s">
        <v>759</v>
      </c>
      <c r="S3" s="3" t="s">
        <v>760</v>
      </c>
      <c r="T3" s="3" t="s">
        <v>761</v>
      </c>
      <c r="U3" s="3" t="s">
        <v>762</v>
      </c>
      <c r="V3" s="3" t="s">
        <v>763</v>
      </c>
      <c r="W3" s="23" t="s">
        <v>764</v>
      </c>
      <c r="X3" s="3" t="s">
        <v>765</v>
      </c>
      <c r="Y3" s="3" t="s">
        <v>766</v>
      </c>
      <c r="Z3" s="3" t="s">
        <v>767</v>
      </c>
      <c r="AA3" s="3" t="s">
        <v>768</v>
      </c>
      <c r="AB3" s="3" t="s">
        <v>769</v>
      </c>
      <c r="AC3" s="3" t="s">
        <v>770</v>
      </c>
      <c r="AD3" s="3" t="s">
        <v>771</v>
      </c>
      <c r="AE3" s="3" t="s">
        <v>772</v>
      </c>
      <c r="AF3" s="3" t="s">
        <v>773</v>
      </c>
      <c r="AG3" s="3" t="s">
        <v>758</v>
      </c>
      <c r="AH3" s="3" t="s">
        <v>774</v>
      </c>
      <c r="AI3" s="3" t="s">
        <v>775</v>
      </c>
      <c r="AJ3" s="3" t="s">
        <v>776</v>
      </c>
      <c r="AK3" s="3" t="s">
        <v>777</v>
      </c>
      <c r="AL3" s="3" t="s">
        <v>778</v>
      </c>
      <c r="AM3" s="3" t="s">
        <v>758</v>
      </c>
      <c r="AN3" s="3" t="s">
        <v>758</v>
      </c>
      <c r="AO3" s="3" t="s">
        <v>773</v>
      </c>
      <c r="AP3" s="3" t="n">
        <v>2</v>
      </c>
      <c r="AQ3" s="3" t="s">
        <v>779</v>
      </c>
      <c r="AR3" s="3" t="s">
        <v>758</v>
      </c>
      <c r="AS3" s="3" t="s">
        <v>780</v>
      </c>
      <c r="AT3" s="3" t="s">
        <v>781</v>
      </c>
      <c r="AU3" s="3" t="s">
        <v>782</v>
      </c>
      <c r="AV3" s="3" t="s">
        <v>783</v>
      </c>
      <c r="AW3" s="3" t="s">
        <v>784</v>
      </c>
      <c r="AX3" s="3" t="s">
        <v>785</v>
      </c>
      <c r="AY3" s="3" t="s">
        <v>758</v>
      </c>
      <c r="AZ3" s="3" t="s">
        <v>786</v>
      </c>
      <c r="BA3" s="3" t="s">
        <v>758</v>
      </c>
      <c r="BB3" s="3" t="s">
        <v>787</v>
      </c>
      <c r="BC3" s="3" t="s">
        <v>758</v>
      </c>
      <c r="BD3" s="3" t="s">
        <v>788</v>
      </c>
      <c r="BE3" s="3" t="s">
        <v>773</v>
      </c>
      <c r="BF3" s="3"/>
      <c r="BG3" s="3" t="s">
        <v>773</v>
      </c>
      <c r="BH3" s="3"/>
      <c r="BI3" s="3" t="s">
        <v>773</v>
      </c>
      <c r="BJ3" s="3"/>
      <c r="BK3" s="3" t="s">
        <v>773</v>
      </c>
      <c r="BL3" s="3"/>
      <c r="BM3" s="3" t="s">
        <v>773</v>
      </c>
      <c r="BN3" s="3"/>
      <c r="BO3" s="3" t="s">
        <v>758</v>
      </c>
      <c r="BP3" s="3" t="s">
        <v>789</v>
      </c>
      <c r="BQ3" s="3" t="s">
        <v>773</v>
      </c>
      <c r="BR3" s="3"/>
      <c r="BS3" s="3" t="s">
        <v>758</v>
      </c>
      <c r="BT3" s="3" t="s">
        <v>790</v>
      </c>
      <c r="BU3" s="3" t="s">
        <v>773</v>
      </c>
      <c r="BV3" s="3"/>
      <c r="BW3" s="3" t="s">
        <v>758</v>
      </c>
      <c r="BX3" s="3" t="s">
        <v>791</v>
      </c>
      <c r="BY3" s="3" t="s">
        <v>773</v>
      </c>
      <c r="BZ3" s="3"/>
      <c r="CA3" s="3" t="s">
        <v>758</v>
      </c>
      <c r="CB3" s="3" t="s">
        <v>792</v>
      </c>
      <c r="CC3" s="3" t="s">
        <v>773</v>
      </c>
      <c r="CD3" s="3"/>
      <c r="CE3" s="3"/>
      <c r="CF3" s="3" t="s">
        <v>758</v>
      </c>
      <c r="CG3" s="3" t="s">
        <v>793</v>
      </c>
      <c r="CH3" s="3" t="s">
        <v>758</v>
      </c>
      <c r="CI3" s="3" t="s">
        <v>794</v>
      </c>
      <c r="CJ3" s="3" t="s">
        <v>773</v>
      </c>
      <c r="CK3" s="3"/>
      <c r="CL3" s="3" t="s">
        <v>773</v>
      </c>
      <c r="CM3" s="3"/>
      <c r="CN3" s="3" t="s">
        <v>773</v>
      </c>
      <c r="CO3" s="3"/>
      <c r="CP3" s="3" t="s">
        <v>758</v>
      </c>
      <c r="CQ3" s="3" t="s">
        <v>795</v>
      </c>
      <c r="CR3" s="3" t="s">
        <v>773</v>
      </c>
      <c r="CS3" s="3"/>
      <c r="CT3" s="3" t="s">
        <v>758</v>
      </c>
      <c r="CU3" s="3" t="s">
        <v>796</v>
      </c>
      <c r="CV3" s="3" t="s">
        <v>773</v>
      </c>
      <c r="CW3" s="3"/>
      <c r="CX3" s="3" t="s">
        <v>773</v>
      </c>
      <c r="CY3" s="3"/>
      <c r="CZ3" s="3" t="s">
        <v>797</v>
      </c>
      <c r="DA3" s="3" t="s">
        <v>798</v>
      </c>
      <c r="DB3" s="3" t="s">
        <v>797</v>
      </c>
      <c r="DC3" s="3" t="s">
        <v>799</v>
      </c>
      <c r="DD3" s="3" t="s">
        <v>797</v>
      </c>
      <c r="DE3" s="3" t="s">
        <v>800</v>
      </c>
      <c r="DF3" s="3" t="s">
        <v>801</v>
      </c>
      <c r="DG3" s="3" t="s">
        <v>802</v>
      </c>
      <c r="DH3" s="3" t="s">
        <v>801</v>
      </c>
      <c r="DI3" s="3" t="s">
        <v>803</v>
      </c>
      <c r="DJ3" s="3" t="s">
        <v>804</v>
      </c>
      <c r="DK3" s="3" t="s">
        <v>805</v>
      </c>
      <c r="DL3" s="3" t="s">
        <v>797</v>
      </c>
      <c r="DM3" s="3" t="s">
        <v>806</v>
      </c>
      <c r="DN3" s="3" t="s">
        <v>746</v>
      </c>
      <c r="DO3" s="3" t="s">
        <v>807</v>
      </c>
      <c r="DP3" s="3" t="s">
        <v>808</v>
      </c>
      <c r="DQ3" s="3" t="s">
        <v>809</v>
      </c>
      <c r="DR3" s="3" t="n">
        <v>5</v>
      </c>
      <c r="DS3" s="3" t="s">
        <v>810</v>
      </c>
    </row>
    <row r="4" customFormat="false" ht="120" hidden="false" customHeight="true" outlineLevel="0" collapsed="false">
      <c r="A4" s="3" t="s">
        <v>811</v>
      </c>
      <c r="B4" s="3" t="s">
        <v>746</v>
      </c>
      <c r="C4" s="3" t="s">
        <v>812</v>
      </c>
      <c r="D4" s="3" t="s">
        <v>813</v>
      </c>
      <c r="E4" s="3" t="s">
        <v>52</v>
      </c>
      <c r="F4" s="3" t="s">
        <v>814</v>
      </c>
      <c r="G4" s="23" t="s">
        <v>815</v>
      </c>
      <c r="H4" s="3" t="s">
        <v>816</v>
      </c>
      <c r="I4" s="3" t="s">
        <v>817</v>
      </c>
      <c r="J4" s="3" t="s">
        <v>818</v>
      </c>
      <c r="K4" s="3" t="s">
        <v>819</v>
      </c>
      <c r="L4" s="3" t="n">
        <v>1</v>
      </c>
      <c r="M4" s="23" t="s">
        <v>820</v>
      </c>
      <c r="N4" s="3" t="s">
        <v>54</v>
      </c>
      <c r="O4" s="3" t="s">
        <v>756</v>
      </c>
      <c r="P4" s="3" t="s">
        <v>821</v>
      </c>
      <c r="Q4" s="3" t="s">
        <v>773</v>
      </c>
      <c r="R4" s="3" t="s">
        <v>809</v>
      </c>
      <c r="S4" s="3" t="s">
        <v>822</v>
      </c>
      <c r="T4" s="3" t="s">
        <v>823</v>
      </c>
      <c r="U4" s="3" t="s">
        <v>773</v>
      </c>
      <c r="V4" s="3" t="s">
        <v>824</v>
      </c>
      <c r="W4" s="23" t="s">
        <v>825</v>
      </c>
      <c r="X4" s="3" t="s">
        <v>826</v>
      </c>
      <c r="Y4" s="3" t="s">
        <v>827</v>
      </c>
      <c r="Z4" s="3" t="s">
        <v>828</v>
      </c>
      <c r="AA4" s="3" t="s">
        <v>829</v>
      </c>
      <c r="AB4" s="3" t="s">
        <v>830</v>
      </c>
      <c r="AC4" s="3" t="s">
        <v>831</v>
      </c>
      <c r="AD4" s="3" t="s">
        <v>832</v>
      </c>
      <c r="AE4" s="3" t="s">
        <v>833</v>
      </c>
      <c r="AF4" s="3" t="s">
        <v>773</v>
      </c>
      <c r="AG4" s="3" t="s">
        <v>773</v>
      </c>
      <c r="AH4" s="3" t="s">
        <v>772</v>
      </c>
      <c r="AI4" s="3" t="s">
        <v>834</v>
      </c>
      <c r="AJ4" s="3" t="s">
        <v>835</v>
      </c>
      <c r="AK4" s="3" t="s">
        <v>836</v>
      </c>
      <c r="AL4" s="3" t="s">
        <v>837</v>
      </c>
      <c r="AM4" s="3" t="s">
        <v>758</v>
      </c>
      <c r="AN4" s="3" t="s">
        <v>773</v>
      </c>
      <c r="AO4" s="3" t="s">
        <v>773</v>
      </c>
      <c r="AP4" s="3" t="n">
        <v>1</v>
      </c>
      <c r="AQ4" s="3" t="s">
        <v>838</v>
      </c>
      <c r="AR4" s="3" t="s">
        <v>758</v>
      </c>
      <c r="AS4" s="3" t="s">
        <v>839</v>
      </c>
      <c r="AT4" s="3" t="s">
        <v>840</v>
      </c>
      <c r="AU4" s="3" t="s">
        <v>841</v>
      </c>
      <c r="AV4" s="3" t="s">
        <v>842</v>
      </c>
      <c r="AW4" s="3" t="s">
        <v>843</v>
      </c>
      <c r="AX4" s="3" t="s">
        <v>844</v>
      </c>
      <c r="AY4" s="3" t="s">
        <v>758</v>
      </c>
      <c r="AZ4" s="3" t="s">
        <v>845</v>
      </c>
      <c r="BA4" s="3" t="s">
        <v>758</v>
      </c>
      <c r="BB4" s="3" t="s">
        <v>846</v>
      </c>
      <c r="BC4" s="3" t="s">
        <v>758</v>
      </c>
      <c r="BD4" s="3" t="s">
        <v>847</v>
      </c>
      <c r="BE4" s="3" t="s">
        <v>773</v>
      </c>
      <c r="BF4" s="3"/>
      <c r="BG4" s="3" t="s">
        <v>773</v>
      </c>
      <c r="BH4" s="3"/>
      <c r="BI4" s="3" t="s">
        <v>773</v>
      </c>
      <c r="BJ4" s="3"/>
      <c r="BK4" s="3" t="s">
        <v>773</v>
      </c>
      <c r="BL4" s="3"/>
      <c r="BM4" s="3" t="s">
        <v>773</v>
      </c>
      <c r="BN4" s="3" t="s">
        <v>848</v>
      </c>
      <c r="BO4" s="3" t="s">
        <v>758</v>
      </c>
      <c r="BP4" s="3" t="s">
        <v>849</v>
      </c>
      <c r="BQ4" s="3" t="s">
        <v>773</v>
      </c>
      <c r="BR4" s="3" t="s">
        <v>850</v>
      </c>
      <c r="BS4" s="3" t="s">
        <v>773</v>
      </c>
      <c r="BT4" s="3"/>
      <c r="BU4" s="3" t="s">
        <v>758</v>
      </c>
      <c r="BV4" s="3" t="s">
        <v>851</v>
      </c>
      <c r="BW4" s="3" t="s">
        <v>773</v>
      </c>
      <c r="BX4" s="3" t="s">
        <v>852</v>
      </c>
      <c r="BY4" s="3" t="s">
        <v>773</v>
      </c>
      <c r="BZ4" s="3"/>
      <c r="CA4" s="3" t="s">
        <v>758</v>
      </c>
      <c r="CB4" s="3" t="s">
        <v>853</v>
      </c>
      <c r="CC4" s="3" t="s">
        <v>773</v>
      </c>
      <c r="CD4" s="3"/>
      <c r="CE4" s="3"/>
      <c r="CF4" s="3" t="s">
        <v>773</v>
      </c>
      <c r="CG4" s="3"/>
      <c r="CH4" s="3" t="s">
        <v>773</v>
      </c>
      <c r="CI4" s="3"/>
      <c r="CJ4" s="3" t="s">
        <v>758</v>
      </c>
      <c r="CK4" s="3" t="s">
        <v>854</v>
      </c>
      <c r="CL4" s="3" t="s">
        <v>773</v>
      </c>
      <c r="CM4" s="3"/>
      <c r="CN4" s="3" t="s">
        <v>758</v>
      </c>
      <c r="CO4" s="3" t="s">
        <v>855</v>
      </c>
      <c r="CP4" s="3" t="s">
        <v>758</v>
      </c>
      <c r="CQ4" s="3" t="s">
        <v>856</v>
      </c>
      <c r="CR4" s="3" t="s">
        <v>758</v>
      </c>
      <c r="CS4" s="3" t="s">
        <v>857</v>
      </c>
      <c r="CT4" s="3" t="s">
        <v>773</v>
      </c>
      <c r="CU4" s="3" t="s">
        <v>858</v>
      </c>
      <c r="CV4" s="3" t="s">
        <v>773</v>
      </c>
      <c r="CW4" s="3"/>
      <c r="CX4" s="3" t="s">
        <v>773</v>
      </c>
      <c r="CY4" s="3"/>
      <c r="CZ4" s="3" t="s">
        <v>797</v>
      </c>
      <c r="DA4" s="3" t="s">
        <v>859</v>
      </c>
      <c r="DB4" s="3" t="s">
        <v>797</v>
      </c>
      <c r="DC4" s="3" t="s">
        <v>860</v>
      </c>
      <c r="DD4" s="3" t="s">
        <v>797</v>
      </c>
      <c r="DE4" s="3" t="s">
        <v>861</v>
      </c>
      <c r="DF4" s="3" t="s">
        <v>801</v>
      </c>
      <c r="DG4" s="3" t="s">
        <v>862</v>
      </c>
      <c r="DH4" s="3" t="s">
        <v>804</v>
      </c>
      <c r="DI4" s="3" t="s">
        <v>863</v>
      </c>
      <c r="DJ4" s="3" t="s">
        <v>804</v>
      </c>
      <c r="DK4" s="3" t="s">
        <v>864</v>
      </c>
      <c r="DL4" s="3" t="s">
        <v>797</v>
      </c>
      <c r="DM4" s="3" t="s">
        <v>865</v>
      </c>
      <c r="DN4" s="3" t="s">
        <v>746</v>
      </c>
      <c r="DO4" s="3" t="s">
        <v>866</v>
      </c>
      <c r="DP4" s="3" t="s">
        <v>867</v>
      </c>
      <c r="DQ4" s="3" t="s">
        <v>809</v>
      </c>
      <c r="DR4" s="3" t="n">
        <v>9</v>
      </c>
      <c r="DS4" s="3" t="s">
        <v>868</v>
      </c>
    </row>
    <row r="5" customFormat="false" ht="120" hidden="false" customHeight="true" outlineLevel="0" collapsed="false">
      <c r="A5" s="3" t="s">
        <v>811</v>
      </c>
      <c r="B5" s="3" t="s">
        <v>746</v>
      </c>
      <c r="C5" s="3" t="s">
        <v>869</v>
      </c>
      <c r="D5" s="3" t="s">
        <v>870</v>
      </c>
      <c r="E5" s="3" t="s">
        <v>65</v>
      </c>
      <c r="F5" s="3" t="s">
        <v>814</v>
      </c>
      <c r="G5" s="23" t="s">
        <v>871</v>
      </c>
      <c r="H5" s="3" t="s">
        <v>816</v>
      </c>
      <c r="I5" s="3" t="s">
        <v>72</v>
      </c>
      <c r="J5" s="3" t="s">
        <v>818</v>
      </c>
      <c r="K5" s="3" t="s">
        <v>819</v>
      </c>
      <c r="L5" s="3" t="n">
        <v>1</v>
      </c>
      <c r="M5" s="23" t="s">
        <v>67</v>
      </c>
      <c r="N5" s="3" t="s">
        <v>66</v>
      </c>
      <c r="O5" s="3" t="s">
        <v>756</v>
      </c>
      <c r="P5" s="3" t="s">
        <v>872</v>
      </c>
      <c r="Q5" s="3" t="s">
        <v>773</v>
      </c>
      <c r="R5" s="3" t="s">
        <v>809</v>
      </c>
      <c r="S5" s="3" t="s">
        <v>873</v>
      </c>
      <c r="T5" s="3" t="s">
        <v>874</v>
      </c>
      <c r="U5" s="3" t="s">
        <v>773</v>
      </c>
      <c r="V5" s="3" t="s">
        <v>875</v>
      </c>
      <c r="W5" s="23" t="s">
        <v>876</v>
      </c>
      <c r="X5" s="3" t="s">
        <v>877</v>
      </c>
      <c r="Y5" s="3" t="s">
        <v>878</v>
      </c>
      <c r="Z5" s="3" t="s">
        <v>879</v>
      </c>
      <c r="AA5" s="3" t="s">
        <v>880</v>
      </c>
      <c r="AB5" s="3" t="s">
        <v>769</v>
      </c>
      <c r="AC5" s="3" t="s">
        <v>831</v>
      </c>
      <c r="AD5" s="3" t="s">
        <v>881</v>
      </c>
      <c r="AE5" s="3" t="s">
        <v>882</v>
      </c>
      <c r="AF5" s="3" t="s">
        <v>773</v>
      </c>
      <c r="AG5" s="3" t="s">
        <v>773</v>
      </c>
      <c r="AH5" s="3" t="s">
        <v>772</v>
      </c>
      <c r="AI5" s="3" t="s">
        <v>883</v>
      </c>
      <c r="AJ5" s="3" t="s">
        <v>884</v>
      </c>
      <c r="AK5" s="3" t="s">
        <v>885</v>
      </c>
      <c r="AL5" s="3" t="s">
        <v>886</v>
      </c>
      <c r="AM5" s="3" t="s">
        <v>758</v>
      </c>
      <c r="AN5" s="3" t="s">
        <v>758</v>
      </c>
      <c r="AO5" s="3" t="s">
        <v>773</v>
      </c>
      <c r="AP5" s="3" t="n">
        <v>2</v>
      </c>
      <c r="AQ5" s="3" t="s">
        <v>887</v>
      </c>
      <c r="AR5" s="3" t="s">
        <v>758</v>
      </c>
      <c r="AS5" s="3" t="s">
        <v>888</v>
      </c>
      <c r="AT5" s="3" t="s">
        <v>889</v>
      </c>
      <c r="AU5" s="3" t="s">
        <v>890</v>
      </c>
      <c r="AV5" s="3" t="s">
        <v>891</v>
      </c>
      <c r="AW5" s="3" t="s">
        <v>892</v>
      </c>
      <c r="AX5" s="3" t="s">
        <v>893</v>
      </c>
      <c r="AY5" s="3" t="s">
        <v>758</v>
      </c>
      <c r="AZ5" s="3" t="s">
        <v>894</v>
      </c>
      <c r="BA5" s="3" t="s">
        <v>773</v>
      </c>
      <c r="BB5" s="3" t="s">
        <v>895</v>
      </c>
      <c r="BC5" s="3" t="s">
        <v>773</v>
      </c>
      <c r="BD5" s="3" t="s">
        <v>896</v>
      </c>
      <c r="BE5" s="3" t="s">
        <v>773</v>
      </c>
      <c r="BF5" s="3"/>
      <c r="BG5" s="3" t="s">
        <v>773</v>
      </c>
      <c r="BH5" s="3"/>
      <c r="BI5" s="3" t="s">
        <v>773</v>
      </c>
      <c r="BJ5" s="3"/>
      <c r="BK5" s="3" t="s">
        <v>773</v>
      </c>
      <c r="BL5" s="3"/>
      <c r="BM5" s="3" t="s">
        <v>758</v>
      </c>
      <c r="BN5" s="3" t="s">
        <v>897</v>
      </c>
      <c r="BO5" s="3" t="s">
        <v>773</v>
      </c>
      <c r="BP5" s="3" t="s">
        <v>898</v>
      </c>
      <c r="BQ5" s="3" t="s">
        <v>773</v>
      </c>
      <c r="BR5" s="3"/>
      <c r="BS5" s="3" t="s">
        <v>773</v>
      </c>
      <c r="BT5" s="3"/>
      <c r="BU5" s="3" t="s">
        <v>773</v>
      </c>
      <c r="BV5" s="3"/>
      <c r="BW5" s="3" t="s">
        <v>773</v>
      </c>
      <c r="BX5" s="3"/>
      <c r="BY5" s="3" t="s">
        <v>773</v>
      </c>
      <c r="BZ5" s="3"/>
      <c r="CA5" s="3" t="s">
        <v>773</v>
      </c>
      <c r="CB5" s="3"/>
      <c r="CC5" s="3" t="s">
        <v>773</v>
      </c>
      <c r="CD5" s="3"/>
      <c r="CE5" s="3"/>
      <c r="CF5" s="3" t="s">
        <v>773</v>
      </c>
      <c r="CG5" s="3"/>
      <c r="CH5" s="3" t="s">
        <v>773</v>
      </c>
      <c r="CI5" s="3"/>
      <c r="CJ5" s="3" t="s">
        <v>758</v>
      </c>
      <c r="CK5" s="3" t="s">
        <v>899</v>
      </c>
      <c r="CL5" s="3" t="s">
        <v>773</v>
      </c>
      <c r="CM5" s="3"/>
      <c r="CN5" s="3" t="s">
        <v>773</v>
      </c>
      <c r="CO5" s="3"/>
      <c r="CP5" s="3" t="s">
        <v>773</v>
      </c>
      <c r="CQ5" s="3"/>
      <c r="CR5" s="3" t="s">
        <v>758</v>
      </c>
      <c r="CS5" s="3" t="s">
        <v>900</v>
      </c>
      <c r="CT5" s="3" t="s">
        <v>773</v>
      </c>
      <c r="CU5" s="3" t="s">
        <v>858</v>
      </c>
      <c r="CV5" s="3" t="s">
        <v>773</v>
      </c>
      <c r="CW5" s="3" t="s">
        <v>901</v>
      </c>
      <c r="CX5" s="3" t="s">
        <v>773</v>
      </c>
      <c r="CY5" s="3"/>
      <c r="CZ5" s="3" t="s">
        <v>797</v>
      </c>
      <c r="DA5" s="3" t="s">
        <v>902</v>
      </c>
      <c r="DB5" s="3" t="s">
        <v>797</v>
      </c>
      <c r="DC5" s="3" t="s">
        <v>903</v>
      </c>
      <c r="DD5" s="3" t="s">
        <v>797</v>
      </c>
      <c r="DE5" s="3" t="s">
        <v>904</v>
      </c>
      <c r="DF5" s="3" t="s">
        <v>801</v>
      </c>
      <c r="DG5" s="3" t="s">
        <v>862</v>
      </c>
      <c r="DH5" s="3" t="s">
        <v>801</v>
      </c>
      <c r="DI5" s="3" t="s">
        <v>905</v>
      </c>
      <c r="DJ5" s="3" t="s">
        <v>804</v>
      </c>
      <c r="DK5" s="3" t="s">
        <v>809</v>
      </c>
      <c r="DL5" s="3" t="s">
        <v>797</v>
      </c>
      <c r="DM5" s="3" t="s">
        <v>906</v>
      </c>
      <c r="DN5" s="3" t="s">
        <v>746</v>
      </c>
      <c r="DO5" s="3" t="s">
        <v>807</v>
      </c>
      <c r="DP5" s="3" t="s">
        <v>867</v>
      </c>
      <c r="DQ5" s="3" t="s">
        <v>809</v>
      </c>
      <c r="DR5" s="3" t="n">
        <v>8</v>
      </c>
      <c r="DS5" s="3" t="s">
        <v>868</v>
      </c>
    </row>
    <row r="6" customFormat="false" ht="120" hidden="false" customHeight="true" outlineLevel="0" collapsed="false">
      <c r="A6" s="3" t="s">
        <v>811</v>
      </c>
      <c r="B6" s="3" t="s">
        <v>746</v>
      </c>
      <c r="C6" s="3" t="s">
        <v>907</v>
      </c>
      <c r="D6" s="3" t="s">
        <v>908</v>
      </c>
      <c r="E6" s="3" t="s">
        <v>74</v>
      </c>
      <c r="F6" s="3" t="s">
        <v>909</v>
      </c>
      <c r="G6" s="23" t="s">
        <v>910</v>
      </c>
      <c r="H6" s="3" t="s">
        <v>911</v>
      </c>
      <c r="I6" s="3" t="s">
        <v>912</v>
      </c>
      <c r="J6" s="3" t="s">
        <v>818</v>
      </c>
      <c r="K6" s="3" t="s">
        <v>819</v>
      </c>
      <c r="L6" s="3" t="n">
        <v>1</v>
      </c>
      <c r="M6" s="23" t="s">
        <v>76</v>
      </c>
      <c r="N6" s="3" t="s">
        <v>75</v>
      </c>
      <c r="O6" s="3" t="s">
        <v>756</v>
      </c>
      <c r="P6" s="3" t="s">
        <v>913</v>
      </c>
      <c r="Q6" s="3" t="s">
        <v>758</v>
      </c>
      <c r="R6" s="3" t="s">
        <v>914</v>
      </c>
      <c r="S6" s="3" t="s">
        <v>915</v>
      </c>
      <c r="T6" s="3" t="s">
        <v>916</v>
      </c>
      <c r="U6" s="3" t="s">
        <v>917</v>
      </c>
      <c r="V6" s="3" t="s">
        <v>918</v>
      </c>
      <c r="W6" s="23" t="s">
        <v>919</v>
      </c>
      <c r="X6" s="3" t="s">
        <v>920</v>
      </c>
      <c r="Y6" s="3" t="s">
        <v>921</v>
      </c>
      <c r="Z6" s="3" t="s">
        <v>922</v>
      </c>
      <c r="AA6" s="3" t="s">
        <v>923</v>
      </c>
      <c r="AB6" s="3" t="s">
        <v>769</v>
      </c>
      <c r="AC6" s="3" t="s">
        <v>831</v>
      </c>
      <c r="AD6" s="3" t="s">
        <v>881</v>
      </c>
      <c r="AE6" s="3" t="s">
        <v>924</v>
      </c>
      <c r="AF6" s="3" t="s">
        <v>773</v>
      </c>
      <c r="AG6" s="3" t="s">
        <v>925</v>
      </c>
      <c r="AH6" s="3" t="s">
        <v>772</v>
      </c>
      <c r="AI6" s="3" t="s">
        <v>926</v>
      </c>
      <c r="AJ6" s="3" t="s">
        <v>927</v>
      </c>
      <c r="AK6" s="3" t="s">
        <v>928</v>
      </c>
      <c r="AL6" s="3" t="s">
        <v>929</v>
      </c>
      <c r="AM6" s="3" t="s">
        <v>758</v>
      </c>
      <c r="AN6" s="3" t="s">
        <v>758</v>
      </c>
      <c r="AO6" s="3" t="s">
        <v>773</v>
      </c>
      <c r="AP6" s="3" t="n">
        <v>2</v>
      </c>
      <c r="AQ6" s="3" t="s">
        <v>930</v>
      </c>
      <c r="AR6" s="3" t="s">
        <v>758</v>
      </c>
      <c r="AS6" s="3" t="s">
        <v>931</v>
      </c>
      <c r="AT6" s="3" t="s">
        <v>932</v>
      </c>
      <c r="AU6" s="3" t="s">
        <v>933</v>
      </c>
      <c r="AV6" s="3" t="s">
        <v>934</v>
      </c>
      <c r="AW6" s="3" t="s">
        <v>935</v>
      </c>
      <c r="AX6" s="3" t="s">
        <v>936</v>
      </c>
      <c r="AY6" s="3" t="s">
        <v>758</v>
      </c>
      <c r="AZ6" s="3" t="s">
        <v>937</v>
      </c>
      <c r="BA6" s="3" t="s">
        <v>758</v>
      </c>
      <c r="BB6" s="3" t="s">
        <v>938</v>
      </c>
      <c r="BC6" s="3" t="s">
        <v>758</v>
      </c>
      <c r="BD6" s="3" t="s">
        <v>939</v>
      </c>
      <c r="BE6" s="3" t="s">
        <v>773</v>
      </c>
      <c r="BF6" s="3"/>
      <c r="BG6" s="3" t="s">
        <v>773</v>
      </c>
      <c r="BH6" s="3"/>
      <c r="BI6" s="3" t="s">
        <v>773</v>
      </c>
      <c r="BJ6" s="3"/>
      <c r="BK6" s="3" t="s">
        <v>773</v>
      </c>
      <c r="BL6" s="3"/>
      <c r="BM6" s="3" t="s">
        <v>773</v>
      </c>
      <c r="BN6" s="3" t="s">
        <v>940</v>
      </c>
      <c r="BO6" s="3" t="s">
        <v>758</v>
      </c>
      <c r="BP6" s="3" t="s">
        <v>941</v>
      </c>
      <c r="BQ6" s="3" t="s">
        <v>773</v>
      </c>
      <c r="BR6" s="3"/>
      <c r="BS6" s="3" t="s">
        <v>758</v>
      </c>
      <c r="BT6" s="3" t="s">
        <v>942</v>
      </c>
      <c r="BU6" s="3" t="s">
        <v>773</v>
      </c>
      <c r="BV6" s="3"/>
      <c r="BW6" s="3" t="s">
        <v>773</v>
      </c>
      <c r="BX6" s="3"/>
      <c r="BY6" s="3" t="s">
        <v>773</v>
      </c>
      <c r="BZ6" s="3"/>
      <c r="CA6" s="3" t="s">
        <v>758</v>
      </c>
      <c r="CB6" s="3" t="s">
        <v>943</v>
      </c>
      <c r="CC6" s="3" t="s">
        <v>773</v>
      </c>
      <c r="CD6" s="3"/>
      <c r="CE6" s="3"/>
      <c r="CF6" s="3" t="s">
        <v>773</v>
      </c>
      <c r="CG6" s="3" t="s">
        <v>944</v>
      </c>
      <c r="CH6" s="3" t="s">
        <v>758</v>
      </c>
      <c r="CI6" s="3" t="s">
        <v>945</v>
      </c>
      <c r="CJ6" s="3" t="s">
        <v>758</v>
      </c>
      <c r="CK6" s="3" t="s">
        <v>946</v>
      </c>
      <c r="CL6" s="3" t="s">
        <v>773</v>
      </c>
      <c r="CM6" s="3"/>
      <c r="CN6" s="3" t="s">
        <v>773</v>
      </c>
      <c r="CO6" s="3"/>
      <c r="CP6" s="3" t="s">
        <v>758</v>
      </c>
      <c r="CQ6" s="3" t="s">
        <v>947</v>
      </c>
      <c r="CR6" s="3" t="s">
        <v>773</v>
      </c>
      <c r="CS6" s="3"/>
      <c r="CT6" s="3" t="s">
        <v>773</v>
      </c>
      <c r="CU6" s="3" t="s">
        <v>858</v>
      </c>
      <c r="CV6" s="3" t="s">
        <v>758</v>
      </c>
      <c r="CW6" s="3" t="s">
        <v>948</v>
      </c>
      <c r="CX6" s="3" t="s">
        <v>773</v>
      </c>
      <c r="CY6" s="3"/>
      <c r="CZ6" s="3" t="s">
        <v>797</v>
      </c>
      <c r="DA6" s="3" t="s">
        <v>949</v>
      </c>
      <c r="DB6" s="3" t="s">
        <v>797</v>
      </c>
      <c r="DC6" s="3" t="s">
        <v>950</v>
      </c>
      <c r="DD6" s="3" t="s">
        <v>797</v>
      </c>
      <c r="DE6" s="3" t="s">
        <v>951</v>
      </c>
      <c r="DF6" s="3" t="s">
        <v>801</v>
      </c>
      <c r="DG6" s="3" t="s">
        <v>862</v>
      </c>
      <c r="DH6" s="3" t="s">
        <v>801</v>
      </c>
      <c r="DI6" s="3" t="s">
        <v>952</v>
      </c>
      <c r="DJ6" s="3" t="s">
        <v>804</v>
      </c>
      <c r="DK6" s="3" t="s">
        <v>809</v>
      </c>
      <c r="DL6" s="3" t="s">
        <v>797</v>
      </c>
      <c r="DM6" s="3" t="s">
        <v>953</v>
      </c>
      <c r="DN6" s="3" t="s">
        <v>746</v>
      </c>
      <c r="DO6" s="3" t="s">
        <v>807</v>
      </c>
      <c r="DP6" s="3" t="s">
        <v>867</v>
      </c>
      <c r="DQ6" s="3" t="s">
        <v>809</v>
      </c>
      <c r="DR6" s="3" t="n">
        <v>14</v>
      </c>
      <c r="DS6" s="3" t="s">
        <v>954</v>
      </c>
    </row>
    <row r="7" customFormat="false" ht="120" hidden="false" customHeight="true" outlineLevel="0" collapsed="false">
      <c r="A7" s="3" t="s">
        <v>811</v>
      </c>
      <c r="B7" s="3" t="s">
        <v>955</v>
      </c>
      <c r="C7" s="3" t="s">
        <v>956</v>
      </c>
      <c r="D7" s="3" t="s">
        <v>957</v>
      </c>
      <c r="E7" s="3" t="s">
        <v>147</v>
      </c>
      <c r="F7" s="3" t="s">
        <v>958</v>
      </c>
      <c r="G7" s="3" t="s">
        <v>959</v>
      </c>
      <c r="H7" s="3" t="s">
        <v>960</v>
      </c>
      <c r="I7" s="3" t="s">
        <v>961</v>
      </c>
      <c r="J7" s="3" t="s">
        <v>818</v>
      </c>
      <c r="K7" s="3" t="s">
        <v>819</v>
      </c>
      <c r="L7" s="3" t="n">
        <v>2</v>
      </c>
      <c r="M7" s="3" t="s">
        <v>962</v>
      </c>
      <c r="N7" s="3" t="s">
        <v>963</v>
      </c>
      <c r="O7" s="3" t="s">
        <v>964</v>
      </c>
      <c r="P7" s="3" t="s">
        <v>965</v>
      </c>
      <c r="Q7" s="3" t="s">
        <v>966</v>
      </c>
      <c r="R7" s="3" t="s">
        <v>967</v>
      </c>
      <c r="S7" s="3" t="s">
        <v>968</v>
      </c>
      <c r="T7" s="3" t="s">
        <v>969</v>
      </c>
      <c r="U7" s="3" t="s">
        <v>966</v>
      </c>
      <c r="V7" s="3" t="s">
        <v>970</v>
      </c>
      <c r="W7" s="3" t="s">
        <v>971</v>
      </c>
      <c r="X7" s="3" t="s">
        <v>972</v>
      </c>
      <c r="Y7" s="3" t="s">
        <v>973</v>
      </c>
      <c r="Z7" s="3" t="s">
        <v>974</v>
      </c>
      <c r="AA7" s="3" t="s">
        <v>975</v>
      </c>
      <c r="AB7" s="3" t="s">
        <v>976</v>
      </c>
      <c r="AC7" s="3" t="s">
        <v>831</v>
      </c>
      <c r="AD7" s="3" t="s">
        <v>771</v>
      </c>
      <c r="AE7" s="3" t="s">
        <v>977</v>
      </c>
      <c r="AF7" s="3" t="s">
        <v>773</v>
      </c>
      <c r="AG7" s="3" t="s">
        <v>978</v>
      </c>
      <c r="AH7" s="3" t="s">
        <v>772</v>
      </c>
      <c r="AI7" s="3" t="s">
        <v>979</v>
      </c>
      <c r="AJ7" s="3" t="s">
        <v>980</v>
      </c>
      <c r="AK7" s="3" t="s">
        <v>981</v>
      </c>
      <c r="AL7" s="3" t="s">
        <v>982</v>
      </c>
      <c r="AM7" s="3" t="s">
        <v>758</v>
      </c>
      <c r="AN7" s="3" t="s">
        <v>773</v>
      </c>
      <c r="AO7" s="3" t="s">
        <v>773</v>
      </c>
      <c r="AP7" s="3" t="n">
        <v>1</v>
      </c>
      <c r="AQ7" s="3" t="s">
        <v>983</v>
      </c>
      <c r="AR7" s="3" t="s">
        <v>984</v>
      </c>
      <c r="AS7" s="3" t="s">
        <v>809</v>
      </c>
      <c r="AT7" s="3" t="s">
        <v>809</v>
      </c>
      <c r="AU7" s="3" t="s">
        <v>809</v>
      </c>
      <c r="AV7" s="3" t="s">
        <v>985</v>
      </c>
      <c r="AW7" s="3" t="s">
        <v>986</v>
      </c>
      <c r="AX7" s="3" t="s">
        <v>987</v>
      </c>
      <c r="AY7" s="3" t="s">
        <v>773</v>
      </c>
      <c r="AZ7" s="3" t="s">
        <v>988</v>
      </c>
      <c r="BA7" s="3" t="s">
        <v>773</v>
      </c>
      <c r="BB7" s="3" t="s">
        <v>989</v>
      </c>
      <c r="BC7" s="3" t="s">
        <v>773</v>
      </c>
      <c r="BD7" s="3"/>
      <c r="BE7" s="3" t="s">
        <v>773</v>
      </c>
      <c r="BF7" s="3"/>
      <c r="BG7" s="3" t="s">
        <v>773</v>
      </c>
      <c r="BH7" s="3"/>
      <c r="BI7" s="3" t="s">
        <v>773</v>
      </c>
      <c r="BJ7" s="3"/>
      <c r="BK7" s="3" t="s">
        <v>773</v>
      </c>
      <c r="BL7" s="3"/>
      <c r="BM7" s="3" t="s">
        <v>773</v>
      </c>
      <c r="BN7" s="3"/>
      <c r="BO7" s="3" t="s">
        <v>773</v>
      </c>
      <c r="BP7" s="3"/>
      <c r="BQ7" s="3" t="s">
        <v>773</v>
      </c>
      <c r="BR7" s="3"/>
      <c r="BS7" s="3" t="s">
        <v>773</v>
      </c>
      <c r="BT7" s="3"/>
      <c r="BU7" s="3" t="s">
        <v>773</v>
      </c>
      <c r="BV7" s="3"/>
      <c r="BW7" s="3" t="s">
        <v>773</v>
      </c>
      <c r="BX7" s="3"/>
      <c r="BY7" s="3" t="s">
        <v>773</v>
      </c>
      <c r="BZ7" s="3"/>
      <c r="CA7" s="3" t="s">
        <v>773</v>
      </c>
      <c r="CB7" s="3"/>
      <c r="CC7" s="3" t="s">
        <v>773</v>
      </c>
      <c r="CD7" s="3"/>
      <c r="CE7" s="3" t="s">
        <v>990</v>
      </c>
      <c r="CF7" s="3" t="s">
        <v>773</v>
      </c>
      <c r="CG7" s="3" t="s">
        <v>991</v>
      </c>
      <c r="CH7" s="3" t="s">
        <v>758</v>
      </c>
      <c r="CI7" s="3" t="s">
        <v>992</v>
      </c>
      <c r="CJ7" s="3" t="s">
        <v>773</v>
      </c>
      <c r="CK7" s="3"/>
      <c r="CL7" s="3" t="s">
        <v>773</v>
      </c>
      <c r="CM7" s="3"/>
      <c r="CN7" s="3" t="s">
        <v>773</v>
      </c>
      <c r="CO7" s="3"/>
      <c r="CP7" s="3" t="s">
        <v>773</v>
      </c>
      <c r="CQ7" s="3"/>
      <c r="CR7" s="3" t="s">
        <v>773</v>
      </c>
      <c r="CS7" s="3"/>
      <c r="CT7" s="3" t="s">
        <v>773</v>
      </c>
      <c r="CU7" s="3" t="s">
        <v>858</v>
      </c>
      <c r="CV7" s="3" t="s">
        <v>773</v>
      </c>
      <c r="CW7" s="3"/>
      <c r="CX7" s="3" t="s">
        <v>773</v>
      </c>
      <c r="CY7" s="3"/>
      <c r="CZ7" s="3" t="s">
        <v>797</v>
      </c>
      <c r="DA7" s="3" t="s">
        <v>152</v>
      </c>
      <c r="DB7" s="3" t="s">
        <v>797</v>
      </c>
      <c r="DC7" s="3" t="s">
        <v>993</v>
      </c>
      <c r="DD7" s="3" t="s">
        <v>797</v>
      </c>
      <c r="DE7" s="3" t="s">
        <v>994</v>
      </c>
      <c r="DF7" s="3" t="s">
        <v>801</v>
      </c>
      <c r="DG7" s="3" t="s">
        <v>995</v>
      </c>
      <c r="DH7" s="3" t="s">
        <v>804</v>
      </c>
      <c r="DI7" s="3" t="s">
        <v>809</v>
      </c>
      <c r="DJ7" s="3" t="s">
        <v>804</v>
      </c>
      <c r="DK7" s="3" t="s">
        <v>809</v>
      </c>
      <c r="DL7" s="3" t="s">
        <v>996</v>
      </c>
      <c r="DM7" s="3" t="s">
        <v>997</v>
      </c>
      <c r="DN7" s="3" t="s">
        <v>955</v>
      </c>
      <c r="DO7" s="3" t="s">
        <v>998</v>
      </c>
      <c r="DP7" s="3" t="s">
        <v>867</v>
      </c>
      <c r="DQ7" s="3" t="s">
        <v>809</v>
      </c>
      <c r="DR7" s="3" t="n">
        <v>13</v>
      </c>
      <c r="DS7" s="3" t="s">
        <v>999</v>
      </c>
    </row>
    <row r="8" customFormat="false" ht="120" hidden="false" customHeight="true" outlineLevel="0" collapsed="false">
      <c r="A8" s="3" t="s">
        <v>811</v>
      </c>
      <c r="B8" s="3" t="s">
        <v>746</v>
      </c>
      <c r="C8" s="3" t="s">
        <v>1000</v>
      </c>
      <c r="D8" s="3" t="s">
        <v>1001</v>
      </c>
      <c r="E8" s="3" t="s">
        <v>84</v>
      </c>
      <c r="F8" s="3" t="s">
        <v>750</v>
      </c>
      <c r="G8" s="23" t="s">
        <v>1002</v>
      </c>
      <c r="H8" s="3" t="s">
        <v>752</v>
      </c>
      <c r="I8" s="3" t="s">
        <v>1003</v>
      </c>
      <c r="J8" s="3" t="s">
        <v>818</v>
      </c>
      <c r="K8" s="3" t="s">
        <v>819</v>
      </c>
      <c r="L8" s="3" t="n">
        <v>1</v>
      </c>
      <c r="M8" s="23" t="s">
        <v>86</v>
      </c>
      <c r="N8" s="3" t="s">
        <v>85</v>
      </c>
      <c r="O8" s="3" t="s">
        <v>756</v>
      </c>
      <c r="P8" s="3" t="s">
        <v>1004</v>
      </c>
      <c r="Q8" s="3" t="s">
        <v>773</v>
      </c>
      <c r="R8" s="3" t="s">
        <v>809</v>
      </c>
      <c r="S8" s="3" t="s">
        <v>1005</v>
      </c>
      <c r="T8" s="3" t="s">
        <v>1006</v>
      </c>
      <c r="U8" s="3" t="s">
        <v>773</v>
      </c>
      <c r="V8" s="3" t="s">
        <v>1007</v>
      </c>
      <c r="W8" s="23" t="s">
        <v>1008</v>
      </c>
      <c r="X8" s="3" t="s">
        <v>88</v>
      </c>
      <c r="Y8" s="3" t="s">
        <v>1009</v>
      </c>
      <c r="Z8" s="3" t="s">
        <v>1010</v>
      </c>
      <c r="AA8" s="3" t="s">
        <v>1011</v>
      </c>
      <c r="AB8" s="3" t="s">
        <v>976</v>
      </c>
      <c r="AC8" s="3" t="s">
        <v>831</v>
      </c>
      <c r="AD8" s="3" t="s">
        <v>881</v>
      </c>
      <c r="AE8" s="3" t="s">
        <v>1012</v>
      </c>
      <c r="AF8" s="3" t="s">
        <v>773</v>
      </c>
      <c r="AG8" s="3" t="s">
        <v>773</v>
      </c>
      <c r="AH8" s="3" t="s">
        <v>772</v>
      </c>
      <c r="AI8" s="3" t="s">
        <v>1013</v>
      </c>
      <c r="AJ8" s="3" t="s">
        <v>1014</v>
      </c>
      <c r="AK8" s="3" t="s">
        <v>1015</v>
      </c>
      <c r="AL8" s="3" t="s">
        <v>1016</v>
      </c>
      <c r="AM8" s="3" t="s">
        <v>758</v>
      </c>
      <c r="AN8" s="3" t="s">
        <v>758</v>
      </c>
      <c r="AO8" s="3" t="s">
        <v>773</v>
      </c>
      <c r="AP8" s="3" t="n">
        <v>2</v>
      </c>
      <c r="AQ8" s="3" t="s">
        <v>1017</v>
      </c>
      <c r="AR8" s="3" t="s">
        <v>758</v>
      </c>
      <c r="AS8" s="3" t="s">
        <v>1018</v>
      </c>
      <c r="AT8" s="3" t="s">
        <v>1019</v>
      </c>
      <c r="AU8" s="3" t="s">
        <v>1020</v>
      </c>
      <c r="AV8" s="3" t="s">
        <v>1021</v>
      </c>
      <c r="AW8" s="3" t="s">
        <v>1022</v>
      </c>
      <c r="AX8" s="3" t="s">
        <v>1023</v>
      </c>
      <c r="AY8" s="3" t="s">
        <v>758</v>
      </c>
      <c r="AZ8" s="3" t="s">
        <v>1024</v>
      </c>
      <c r="BA8" s="3" t="s">
        <v>773</v>
      </c>
      <c r="BB8" s="3" t="s">
        <v>1025</v>
      </c>
      <c r="BC8" s="3" t="s">
        <v>758</v>
      </c>
      <c r="BD8" s="3" t="s">
        <v>1026</v>
      </c>
      <c r="BE8" s="3" t="s">
        <v>773</v>
      </c>
      <c r="BF8" s="3"/>
      <c r="BG8" s="3" t="s">
        <v>773</v>
      </c>
      <c r="BH8" s="3"/>
      <c r="BI8" s="3" t="s">
        <v>773</v>
      </c>
      <c r="BJ8" s="3"/>
      <c r="BK8" s="3" t="s">
        <v>773</v>
      </c>
      <c r="BL8" s="3"/>
      <c r="BM8" s="3" t="s">
        <v>758</v>
      </c>
      <c r="BN8" s="3" t="s">
        <v>1027</v>
      </c>
      <c r="BO8" s="3" t="s">
        <v>773</v>
      </c>
      <c r="BP8" s="3"/>
      <c r="BQ8" s="3" t="s">
        <v>773</v>
      </c>
      <c r="BR8" s="3"/>
      <c r="BS8" s="3" t="s">
        <v>773</v>
      </c>
      <c r="BT8" s="3"/>
      <c r="BU8" s="3" t="s">
        <v>773</v>
      </c>
      <c r="BV8" s="3"/>
      <c r="BW8" s="3" t="s">
        <v>773</v>
      </c>
      <c r="BX8" s="3" t="s">
        <v>1028</v>
      </c>
      <c r="BY8" s="3" t="s">
        <v>773</v>
      </c>
      <c r="BZ8" s="3"/>
      <c r="CA8" s="3" t="s">
        <v>758</v>
      </c>
      <c r="CB8" s="3" t="s">
        <v>1029</v>
      </c>
      <c r="CC8" s="3" t="s">
        <v>773</v>
      </c>
      <c r="CD8" s="3"/>
      <c r="CE8" s="3"/>
      <c r="CF8" s="3" t="s">
        <v>773</v>
      </c>
      <c r="CG8" s="3"/>
      <c r="CH8" s="3" t="s">
        <v>773</v>
      </c>
      <c r="CI8" s="3"/>
      <c r="CJ8" s="3" t="s">
        <v>773</v>
      </c>
      <c r="CK8" s="3" t="s">
        <v>1030</v>
      </c>
      <c r="CL8" s="3" t="s">
        <v>773</v>
      </c>
      <c r="CM8" s="3"/>
      <c r="CN8" s="3" t="s">
        <v>773</v>
      </c>
      <c r="CO8" s="3"/>
      <c r="CP8" s="3" t="s">
        <v>758</v>
      </c>
      <c r="CQ8" s="3" t="s">
        <v>1031</v>
      </c>
      <c r="CR8" s="3" t="s">
        <v>758</v>
      </c>
      <c r="CS8" s="3" t="s">
        <v>1032</v>
      </c>
      <c r="CT8" s="3" t="s">
        <v>773</v>
      </c>
      <c r="CU8" s="3" t="s">
        <v>858</v>
      </c>
      <c r="CV8" s="3" t="s">
        <v>773</v>
      </c>
      <c r="CW8" s="3"/>
      <c r="CX8" s="3" t="s">
        <v>773</v>
      </c>
      <c r="CY8" s="3"/>
      <c r="CZ8" s="3" t="s">
        <v>797</v>
      </c>
      <c r="DA8" s="3" t="s">
        <v>88</v>
      </c>
      <c r="DB8" s="3" t="s">
        <v>797</v>
      </c>
      <c r="DC8" s="3" t="s">
        <v>1033</v>
      </c>
      <c r="DD8" s="3" t="s">
        <v>797</v>
      </c>
      <c r="DE8" s="3" t="s">
        <v>1034</v>
      </c>
      <c r="DF8" s="3" t="s">
        <v>801</v>
      </c>
      <c r="DG8" s="3" t="s">
        <v>1035</v>
      </c>
      <c r="DH8" s="3" t="s">
        <v>801</v>
      </c>
      <c r="DI8" s="3" t="s">
        <v>1036</v>
      </c>
      <c r="DJ8" s="3" t="s">
        <v>804</v>
      </c>
      <c r="DK8" s="3" t="s">
        <v>809</v>
      </c>
      <c r="DL8" s="3" t="s">
        <v>797</v>
      </c>
      <c r="DM8" s="3" t="s">
        <v>1037</v>
      </c>
      <c r="DN8" s="3" t="s">
        <v>746</v>
      </c>
      <c r="DO8" s="3" t="s">
        <v>807</v>
      </c>
      <c r="DP8" s="3" t="s">
        <v>867</v>
      </c>
      <c r="DQ8" s="3" t="s">
        <v>809</v>
      </c>
      <c r="DR8" s="3" t="n">
        <v>12</v>
      </c>
      <c r="DS8" s="3" t="s">
        <v>1038</v>
      </c>
    </row>
    <row r="9" customFormat="false" ht="120" hidden="false" customHeight="true" outlineLevel="0" collapsed="false">
      <c r="A9" s="3" t="s">
        <v>811</v>
      </c>
      <c r="B9" s="3" t="s">
        <v>746</v>
      </c>
      <c r="C9" s="3" t="s">
        <v>1039</v>
      </c>
      <c r="D9" s="3" t="s">
        <v>1040</v>
      </c>
      <c r="E9" s="3" t="s">
        <v>93</v>
      </c>
      <c r="F9" s="3" t="s">
        <v>1041</v>
      </c>
      <c r="G9" s="23" t="s">
        <v>1042</v>
      </c>
      <c r="H9" s="3" t="s">
        <v>1043</v>
      </c>
      <c r="I9" s="3" t="s">
        <v>1044</v>
      </c>
      <c r="J9" s="3" t="s">
        <v>1045</v>
      </c>
      <c r="K9" s="3" t="s">
        <v>819</v>
      </c>
      <c r="L9" s="3" t="n">
        <v>1</v>
      </c>
      <c r="M9" s="23" t="s">
        <v>95</v>
      </c>
      <c r="N9" s="3" t="s">
        <v>1046</v>
      </c>
      <c r="O9" s="3" t="s">
        <v>756</v>
      </c>
      <c r="P9" s="3" t="s">
        <v>1047</v>
      </c>
      <c r="Q9" s="3" t="s">
        <v>773</v>
      </c>
      <c r="R9" s="3" t="s">
        <v>809</v>
      </c>
      <c r="S9" s="3" t="s">
        <v>1048</v>
      </c>
      <c r="T9" s="3" t="s">
        <v>1049</v>
      </c>
      <c r="U9" s="3" t="s">
        <v>773</v>
      </c>
      <c r="V9" s="3" t="s">
        <v>763</v>
      </c>
      <c r="W9" s="23" t="s">
        <v>1050</v>
      </c>
      <c r="X9" s="3" t="s">
        <v>1051</v>
      </c>
      <c r="Y9" s="3" t="s">
        <v>1052</v>
      </c>
      <c r="Z9" s="3" t="s">
        <v>1053</v>
      </c>
      <c r="AA9" s="3" t="s">
        <v>1054</v>
      </c>
      <c r="AB9" s="3" t="s">
        <v>769</v>
      </c>
      <c r="AC9" s="3" t="s">
        <v>831</v>
      </c>
      <c r="AD9" s="3" t="s">
        <v>881</v>
      </c>
      <c r="AE9" s="3" t="s">
        <v>882</v>
      </c>
      <c r="AF9" s="3" t="s">
        <v>773</v>
      </c>
      <c r="AG9" s="3" t="s">
        <v>1055</v>
      </c>
      <c r="AH9" s="3" t="s">
        <v>1056</v>
      </c>
      <c r="AI9" s="3" t="s">
        <v>1057</v>
      </c>
      <c r="AJ9" s="3" t="s">
        <v>1058</v>
      </c>
      <c r="AK9" s="3" t="s">
        <v>1059</v>
      </c>
      <c r="AL9" s="3" t="s">
        <v>1060</v>
      </c>
      <c r="AM9" s="3" t="s">
        <v>758</v>
      </c>
      <c r="AN9" s="3" t="s">
        <v>758</v>
      </c>
      <c r="AO9" s="3" t="s">
        <v>773</v>
      </c>
      <c r="AP9" s="3" t="n">
        <v>2</v>
      </c>
      <c r="AQ9" s="3" t="s">
        <v>1061</v>
      </c>
      <c r="AR9" s="3" t="s">
        <v>1062</v>
      </c>
      <c r="AS9" s="3" t="s">
        <v>1063</v>
      </c>
      <c r="AT9" s="3" t="s">
        <v>1064</v>
      </c>
      <c r="AU9" s="3" t="s">
        <v>1065</v>
      </c>
      <c r="AV9" s="3" t="s">
        <v>1066</v>
      </c>
      <c r="AW9" s="3" t="s">
        <v>1067</v>
      </c>
      <c r="AX9" s="3" t="s">
        <v>1068</v>
      </c>
      <c r="AY9" s="3" t="s">
        <v>758</v>
      </c>
      <c r="AZ9" s="3" t="s">
        <v>1069</v>
      </c>
      <c r="BA9" s="3" t="s">
        <v>758</v>
      </c>
      <c r="BB9" s="3" t="s">
        <v>1070</v>
      </c>
      <c r="BC9" s="3" t="s">
        <v>758</v>
      </c>
      <c r="BD9" s="3" t="s">
        <v>1071</v>
      </c>
      <c r="BE9" s="3" t="s">
        <v>773</v>
      </c>
      <c r="BF9" s="3"/>
      <c r="BG9" s="3" t="s">
        <v>773</v>
      </c>
      <c r="BH9" s="3"/>
      <c r="BI9" s="3" t="s">
        <v>773</v>
      </c>
      <c r="BJ9" s="3"/>
      <c r="BK9" s="3" t="s">
        <v>773</v>
      </c>
      <c r="BL9" s="3"/>
      <c r="BM9" s="3" t="s">
        <v>758</v>
      </c>
      <c r="BN9" s="3" t="s">
        <v>1072</v>
      </c>
      <c r="BO9" s="3" t="s">
        <v>758</v>
      </c>
      <c r="BP9" s="3" t="s">
        <v>1073</v>
      </c>
      <c r="BQ9" s="3" t="s">
        <v>773</v>
      </c>
      <c r="BR9" s="3"/>
      <c r="BS9" s="3" t="s">
        <v>773</v>
      </c>
      <c r="BT9" s="3"/>
      <c r="BU9" s="3" t="s">
        <v>758</v>
      </c>
      <c r="BV9" s="3" t="s">
        <v>1074</v>
      </c>
      <c r="BW9" s="3" t="s">
        <v>773</v>
      </c>
      <c r="BX9" s="3" t="s">
        <v>1075</v>
      </c>
      <c r="BY9" s="3" t="s">
        <v>773</v>
      </c>
      <c r="BZ9" s="3"/>
      <c r="CA9" s="3" t="s">
        <v>773</v>
      </c>
      <c r="CB9" s="3"/>
      <c r="CC9" s="3" t="s">
        <v>773</v>
      </c>
      <c r="CD9" s="3"/>
      <c r="CE9" s="3" t="s">
        <v>1076</v>
      </c>
      <c r="CF9" s="3" t="s">
        <v>758</v>
      </c>
      <c r="CG9" s="3" t="s">
        <v>1077</v>
      </c>
      <c r="CH9" s="3" t="s">
        <v>758</v>
      </c>
      <c r="CI9" s="3" t="s">
        <v>1078</v>
      </c>
      <c r="CJ9" s="3" t="s">
        <v>758</v>
      </c>
      <c r="CK9" s="3" t="s">
        <v>1079</v>
      </c>
      <c r="CL9" s="3" t="s">
        <v>773</v>
      </c>
      <c r="CM9" s="3"/>
      <c r="CN9" s="3" t="s">
        <v>773</v>
      </c>
      <c r="CO9" s="3"/>
      <c r="CP9" s="3" t="s">
        <v>773</v>
      </c>
      <c r="CQ9" s="3"/>
      <c r="CR9" s="3" t="s">
        <v>758</v>
      </c>
      <c r="CS9" s="3" t="s">
        <v>1080</v>
      </c>
      <c r="CT9" s="3" t="s">
        <v>773</v>
      </c>
      <c r="CU9" s="3" t="s">
        <v>858</v>
      </c>
      <c r="CV9" s="3" t="s">
        <v>758</v>
      </c>
      <c r="CW9" s="3" t="s">
        <v>1081</v>
      </c>
      <c r="CX9" s="3" t="s">
        <v>773</v>
      </c>
      <c r="CY9" s="3"/>
      <c r="CZ9" s="3" t="s">
        <v>797</v>
      </c>
      <c r="DA9" s="3" t="s">
        <v>1082</v>
      </c>
      <c r="DB9" s="3" t="s">
        <v>797</v>
      </c>
      <c r="DC9" s="3" t="s">
        <v>1083</v>
      </c>
      <c r="DD9" s="3" t="s">
        <v>797</v>
      </c>
      <c r="DE9" s="3" t="s">
        <v>1084</v>
      </c>
      <c r="DF9" s="3" t="s">
        <v>801</v>
      </c>
      <c r="DG9" s="3" t="s">
        <v>862</v>
      </c>
      <c r="DH9" s="3" t="s">
        <v>801</v>
      </c>
      <c r="DI9" s="3" t="s">
        <v>1085</v>
      </c>
      <c r="DJ9" s="3" t="s">
        <v>804</v>
      </c>
      <c r="DK9" s="3" t="s">
        <v>1086</v>
      </c>
      <c r="DL9" s="3" t="s">
        <v>797</v>
      </c>
      <c r="DM9" s="3" t="s">
        <v>1087</v>
      </c>
      <c r="DN9" s="3" t="s">
        <v>746</v>
      </c>
      <c r="DO9" s="3" t="s">
        <v>807</v>
      </c>
      <c r="DP9" s="3" t="s">
        <v>867</v>
      </c>
      <c r="DQ9" s="3" t="s">
        <v>809</v>
      </c>
      <c r="DR9" s="3" t="n">
        <v>12</v>
      </c>
      <c r="DS9" s="3" t="s">
        <v>1088</v>
      </c>
    </row>
    <row r="10" customFormat="false" ht="120" hidden="false" customHeight="true" outlineLevel="0" collapsed="false">
      <c r="A10" s="3" t="s">
        <v>811</v>
      </c>
      <c r="B10" s="3" t="s">
        <v>1089</v>
      </c>
      <c r="C10" s="3" t="s">
        <v>1090</v>
      </c>
      <c r="D10" s="3" t="s">
        <v>1091</v>
      </c>
      <c r="E10" s="3" t="s">
        <v>158</v>
      </c>
      <c r="F10" s="3" t="s">
        <v>1092</v>
      </c>
      <c r="G10" s="3" t="s">
        <v>1093</v>
      </c>
      <c r="H10" s="3" t="s">
        <v>1094</v>
      </c>
      <c r="I10" s="3" t="s">
        <v>1095</v>
      </c>
      <c r="J10" s="3" t="s">
        <v>1045</v>
      </c>
      <c r="K10" s="3" t="s">
        <v>819</v>
      </c>
      <c r="L10" s="3" t="n">
        <v>1</v>
      </c>
      <c r="M10" s="3"/>
      <c r="N10" s="3"/>
      <c r="O10" s="3" t="s">
        <v>756</v>
      </c>
      <c r="P10" s="3" t="s">
        <v>772</v>
      </c>
      <c r="Q10" s="3" t="s">
        <v>773</v>
      </c>
      <c r="R10" s="3"/>
      <c r="S10" s="3" t="s">
        <v>1096</v>
      </c>
      <c r="T10" s="3"/>
      <c r="U10" s="3"/>
      <c r="V10" s="3" t="s">
        <v>315</v>
      </c>
      <c r="W10" s="3" t="s">
        <v>162</v>
      </c>
      <c r="X10" s="3"/>
      <c r="Y10" s="3" t="s">
        <v>1097</v>
      </c>
      <c r="Z10" s="3" t="s">
        <v>1098</v>
      </c>
      <c r="AA10" s="3" t="s">
        <v>1099</v>
      </c>
      <c r="AB10" s="3"/>
      <c r="AC10" s="3"/>
      <c r="AD10" s="3"/>
      <c r="AE10" s="3"/>
      <c r="AF10" s="3"/>
      <c r="AG10" s="3"/>
      <c r="AH10" s="3"/>
      <c r="AI10" s="3"/>
      <c r="AJ10" s="3" t="s">
        <v>1100</v>
      </c>
      <c r="AK10" s="3" t="s">
        <v>809</v>
      </c>
      <c r="AL10" s="3" t="s">
        <v>1101</v>
      </c>
      <c r="AM10" s="3"/>
      <c r="AN10" s="3"/>
      <c r="AO10" s="3"/>
      <c r="AP10" s="3" t="n">
        <v>0</v>
      </c>
      <c r="AQ10" s="3"/>
      <c r="AR10" s="3"/>
      <c r="AS10" s="3"/>
      <c r="AT10" s="3"/>
      <c r="AU10" s="3"/>
      <c r="AV10" s="3" t="s">
        <v>1102</v>
      </c>
      <c r="AW10" s="3" t="s">
        <v>1103</v>
      </c>
      <c r="AX10" s="3" t="s">
        <v>1104</v>
      </c>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t="s">
        <v>797</v>
      </c>
      <c r="DA10" s="3" t="s">
        <v>162</v>
      </c>
      <c r="DB10" s="3" t="s">
        <v>996</v>
      </c>
      <c r="DC10" s="3" t="s">
        <v>1105</v>
      </c>
      <c r="DD10" s="3" t="s">
        <v>996</v>
      </c>
      <c r="DE10" s="3" t="s">
        <v>1106</v>
      </c>
      <c r="DF10" s="3" t="s">
        <v>804</v>
      </c>
      <c r="DG10" s="3" t="s">
        <v>809</v>
      </c>
      <c r="DH10" s="3" t="s">
        <v>804</v>
      </c>
      <c r="DI10" s="3" t="s">
        <v>809</v>
      </c>
      <c r="DJ10" s="3" t="s">
        <v>804</v>
      </c>
      <c r="DK10" s="3" t="s">
        <v>809</v>
      </c>
      <c r="DL10" s="3" t="s">
        <v>797</v>
      </c>
      <c r="DM10" s="3" t="s">
        <v>1107</v>
      </c>
      <c r="DN10" s="3" t="s">
        <v>1089</v>
      </c>
      <c r="DO10" s="3" t="s">
        <v>1108</v>
      </c>
      <c r="DP10" s="3" t="s">
        <v>867</v>
      </c>
      <c r="DQ10" s="3" t="s">
        <v>809</v>
      </c>
      <c r="DR10" s="3" t="n">
        <v>12</v>
      </c>
      <c r="DS10" s="3" t="s">
        <v>1109</v>
      </c>
    </row>
    <row r="11" customFormat="false" ht="120" hidden="false" customHeight="true" outlineLevel="0" collapsed="false">
      <c r="A11" s="3" t="s">
        <v>1110</v>
      </c>
      <c r="B11" s="3" t="s">
        <v>746</v>
      </c>
      <c r="C11" s="3" t="s">
        <v>1111</v>
      </c>
      <c r="D11" s="3" t="s">
        <v>1112</v>
      </c>
      <c r="E11" s="3" t="s">
        <v>104</v>
      </c>
      <c r="F11" s="3" t="s">
        <v>1113</v>
      </c>
      <c r="G11" s="3" t="s">
        <v>1114</v>
      </c>
      <c r="H11" s="3" t="s">
        <v>1094</v>
      </c>
      <c r="I11" s="3" t="s">
        <v>1115</v>
      </c>
      <c r="J11" s="3" t="s">
        <v>1045</v>
      </c>
      <c r="K11" s="3" t="s">
        <v>819</v>
      </c>
      <c r="L11" s="3" t="n">
        <v>6</v>
      </c>
      <c r="M11" s="3" t="s">
        <v>1116</v>
      </c>
      <c r="N11" s="3" t="s">
        <v>1117</v>
      </c>
      <c r="O11" s="3" t="s">
        <v>1118</v>
      </c>
      <c r="P11" s="3" t="s">
        <v>1119</v>
      </c>
      <c r="Q11" s="3" t="s">
        <v>1120</v>
      </c>
      <c r="R11" s="3" t="s">
        <v>1121</v>
      </c>
      <c r="S11" s="3" t="s">
        <v>1122</v>
      </c>
      <c r="T11" s="3" t="s">
        <v>1123</v>
      </c>
      <c r="U11" s="3" t="s">
        <v>1120</v>
      </c>
      <c r="V11" s="3" t="s">
        <v>1124</v>
      </c>
      <c r="W11" s="3" t="s">
        <v>1125</v>
      </c>
      <c r="X11" s="3" t="s">
        <v>1126</v>
      </c>
      <c r="Y11" s="3" t="s">
        <v>1127</v>
      </c>
      <c r="Z11" s="3" t="s">
        <v>1128</v>
      </c>
      <c r="AA11" s="3" t="s">
        <v>1129</v>
      </c>
      <c r="AB11" s="3" t="s">
        <v>1130</v>
      </c>
      <c r="AC11" s="3" t="s">
        <v>831</v>
      </c>
      <c r="AD11" s="3" t="s">
        <v>1131</v>
      </c>
      <c r="AE11" s="3" t="s">
        <v>1132</v>
      </c>
      <c r="AF11" s="3" t="s">
        <v>773</v>
      </c>
      <c r="AG11" s="3" t="s">
        <v>1133</v>
      </c>
      <c r="AH11" s="3" t="s">
        <v>1134</v>
      </c>
      <c r="AI11" s="3" t="s">
        <v>1135</v>
      </c>
      <c r="AJ11" s="3" t="s">
        <v>1136</v>
      </c>
      <c r="AK11" s="3" t="s">
        <v>1137</v>
      </c>
      <c r="AL11" s="3" t="s">
        <v>1138</v>
      </c>
      <c r="AM11" s="3" t="s">
        <v>758</v>
      </c>
      <c r="AN11" s="3" t="s">
        <v>773</v>
      </c>
      <c r="AO11" s="3" t="s">
        <v>773</v>
      </c>
      <c r="AP11" s="3" t="n">
        <v>1</v>
      </c>
      <c r="AQ11" s="3" t="s">
        <v>1139</v>
      </c>
      <c r="AR11" s="3" t="s">
        <v>1140</v>
      </c>
      <c r="AS11" s="3" t="s">
        <v>1141</v>
      </c>
      <c r="AT11" s="3" t="s">
        <v>1142</v>
      </c>
      <c r="AU11" s="3" t="s">
        <v>1143</v>
      </c>
      <c r="AV11" s="3" t="s">
        <v>1144</v>
      </c>
      <c r="AW11" s="3" t="s">
        <v>1145</v>
      </c>
      <c r="AX11" s="3" t="s">
        <v>1146</v>
      </c>
      <c r="AY11" s="3" t="s">
        <v>773</v>
      </c>
      <c r="AZ11" s="3"/>
      <c r="BA11" s="3" t="s">
        <v>773</v>
      </c>
      <c r="BB11" s="3"/>
      <c r="BC11" s="3" t="s">
        <v>773</v>
      </c>
      <c r="BD11" s="3"/>
      <c r="BE11" s="3" t="s">
        <v>773</v>
      </c>
      <c r="BF11" s="3"/>
      <c r="BG11" s="3" t="s">
        <v>758</v>
      </c>
      <c r="BH11" s="3" t="s">
        <v>1147</v>
      </c>
      <c r="BI11" s="3" t="s">
        <v>773</v>
      </c>
      <c r="BJ11" s="3" t="s">
        <v>1148</v>
      </c>
      <c r="BK11" s="3" t="s">
        <v>758</v>
      </c>
      <c r="BL11" s="3" t="s">
        <v>1149</v>
      </c>
      <c r="BM11" s="3" t="s">
        <v>773</v>
      </c>
      <c r="BN11" s="3"/>
      <c r="BO11" s="3" t="s">
        <v>758</v>
      </c>
      <c r="BP11" s="3" t="s">
        <v>1150</v>
      </c>
      <c r="BQ11" s="3" t="s">
        <v>758</v>
      </c>
      <c r="BR11" s="3" t="s">
        <v>1151</v>
      </c>
      <c r="BS11" s="3" t="s">
        <v>758</v>
      </c>
      <c r="BT11" s="3" t="s">
        <v>1152</v>
      </c>
      <c r="BU11" s="3" t="s">
        <v>773</v>
      </c>
      <c r="BV11" s="3"/>
      <c r="BW11" s="3" t="s">
        <v>773</v>
      </c>
      <c r="BX11" s="3"/>
      <c r="BY11" s="3" t="s">
        <v>773</v>
      </c>
      <c r="BZ11" s="3" t="s">
        <v>1153</v>
      </c>
      <c r="CA11" s="3" t="s">
        <v>773</v>
      </c>
      <c r="CB11" s="3" t="s">
        <v>1154</v>
      </c>
      <c r="CC11" s="3" t="s">
        <v>773</v>
      </c>
      <c r="CD11" s="3"/>
      <c r="CE11" s="3" t="s">
        <v>1155</v>
      </c>
      <c r="CF11" s="3" t="s">
        <v>773</v>
      </c>
      <c r="CG11" s="3" t="s">
        <v>1156</v>
      </c>
      <c r="CH11" s="3" t="s">
        <v>773</v>
      </c>
      <c r="CI11" s="3"/>
      <c r="CJ11" s="3" t="s">
        <v>773</v>
      </c>
      <c r="CK11" s="3"/>
      <c r="CL11" s="3" t="s">
        <v>773</v>
      </c>
      <c r="CM11" s="3"/>
      <c r="CN11" s="3" t="s">
        <v>773</v>
      </c>
      <c r="CO11" s="3" t="s">
        <v>1157</v>
      </c>
      <c r="CP11" s="3" t="s">
        <v>773</v>
      </c>
      <c r="CQ11" s="3"/>
      <c r="CR11" s="3" t="s">
        <v>773</v>
      </c>
      <c r="CS11" s="3"/>
      <c r="CT11" s="3" t="s">
        <v>773</v>
      </c>
      <c r="CU11" s="3" t="s">
        <v>1158</v>
      </c>
      <c r="CV11" s="3" t="s">
        <v>773</v>
      </c>
      <c r="CW11" s="3"/>
      <c r="CX11" s="3" t="s">
        <v>758</v>
      </c>
      <c r="CY11" s="3" t="s">
        <v>1159</v>
      </c>
      <c r="CZ11" s="3" t="s">
        <v>797</v>
      </c>
      <c r="DA11" s="3" t="s">
        <v>1160</v>
      </c>
      <c r="DB11" s="3" t="s">
        <v>797</v>
      </c>
      <c r="DC11" s="3" t="s">
        <v>1161</v>
      </c>
      <c r="DD11" s="3" t="s">
        <v>797</v>
      </c>
      <c r="DE11" s="3" t="s">
        <v>1162</v>
      </c>
      <c r="DF11" s="3" t="s">
        <v>801</v>
      </c>
      <c r="DG11" s="3" t="s">
        <v>1163</v>
      </c>
      <c r="DH11" s="3" t="s">
        <v>804</v>
      </c>
      <c r="DI11" s="3" t="s">
        <v>1164</v>
      </c>
      <c r="DJ11" s="3" t="s">
        <v>804</v>
      </c>
      <c r="DK11" s="3" t="s">
        <v>809</v>
      </c>
      <c r="DL11" s="3" t="s">
        <v>797</v>
      </c>
      <c r="DM11" s="3" t="s">
        <v>1165</v>
      </c>
      <c r="DN11" s="3" t="s">
        <v>746</v>
      </c>
      <c r="DO11" s="3" t="s">
        <v>866</v>
      </c>
      <c r="DP11" s="3" t="s">
        <v>867</v>
      </c>
      <c r="DQ11" s="3" t="s">
        <v>809</v>
      </c>
      <c r="DR11" s="3" t="n">
        <v>10</v>
      </c>
      <c r="DS11" s="3" t="s">
        <v>1166</v>
      </c>
    </row>
    <row r="12" customFormat="false" ht="120" hidden="false" customHeight="true" outlineLevel="0" collapsed="false">
      <c r="A12" s="3" t="s">
        <v>1110</v>
      </c>
      <c r="B12" s="3" t="s">
        <v>746</v>
      </c>
      <c r="C12" s="3" t="s">
        <v>1167</v>
      </c>
      <c r="D12" s="3" t="s">
        <v>1168</v>
      </c>
      <c r="E12" s="3" t="s">
        <v>113</v>
      </c>
      <c r="F12" s="3" t="s">
        <v>1169</v>
      </c>
      <c r="G12" s="3" t="s">
        <v>1170</v>
      </c>
      <c r="H12" s="3" t="s">
        <v>1171</v>
      </c>
      <c r="I12" s="3" t="s">
        <v>1172</v>
      </c>
      <c r="J12" s="3" t="s">
        <v>1045</v>
      </c>
      <c r="K12" s="3" t="s">
        <v>819</v>
      </c>
      <c r="L12" s="3" t="n">
        <v>1</v>
      </c>
      <c r="M12" s="3" t="s">
        <v>1173</v>
      </c>
      <c r="N12" s="3" t="s">
        <v>1174</v>
      </c>
      <c r="O12" s="3" t="s">
        <v>756</v>
      </c>
      <c r="P12" s="3" t="s">
        <v>1175</v>
      </c>
      <c r="Q12" s="3" t="s">
        <v>773</v>
      </c>
      <c r="R12" s="3" t="s">
        <v>809</v>
      </c>
      <c r="S12" s="3" t="s">
        <v>1176</v>
      </c>
      <c r="T12" s="3" t="s">
        <v>1177</v>
      </c>
      <c r="U12" s="3" t="s">
        <v>773</v>
      </c>
      <c r="V12" s="3" t="s">
        <v>1007</v>
      </c>
      <c r="W12" s="3" t="s">
        <v>1178</v>
      </c>
      <c r="X12" s="3" t="s">
        <v>1179</v>
      </c>
      <c r="Y12" s="3" t="s">
        <v>1180</v>
      </c>
      <c r="Z12" s="3" t="s">
        <v>1181</v>
      </c>
      <c r="AA12" s="3" t="s">
        <v>1182</v>
      </c>
      <c r="AB12" s="3" t="s">
        <v>769</v>
      </c>
      <c r="AC12" s="3" t="s">
        <v>831</v>
      </c>
      <c r="AD12" s="3" t="s">
        <v>881</v>
      </c>
      <c r="AE12" s="3" t="s">
        <v>1183</v>
      </c>
      <c r="AF12" s="3" t="s">
        <v>773</v>
      </c>
      <c r="AG12" s="3" t="s">
        <v>1184</v>
      </c>
      <c r="AH12" s="3" t="s">
        <v>1185</v>
      </c>
      <c r="AI12" s="3" t="s">
        <v>1186</v>
      </c>
      <c r="AJ12" s="3" t="s">
        <v>1187</v>
      </c>
      <c r="AK12" s="3" t="s">
        <v>1188</v>
      </c>
      <c r="AL12" s="3" t="s">
        <v>1189</v>
      </c>
      <c r="AM12" s="3" t="s">
        <v>758</v>
      </c>
      <c r="AN12" s="3" t="s">
        <v>773</v>
      </c>
      <c r="AO12" s="3" t="s">
        <v>773</v>
      </c>
      <c r="AP12" s="3" t="n">
        <v>1</v>
      </c>
      <c r="AQ12" s="3" t="s">
        <v>1190</v>
      </c>
      <c r="AR12" s="3" t="s">
        <v>1191</v>
      </c>
      <c r="AS12" s="3" t="s">
        <v>1192</v>
      </c>
      <c r="AT12" s="3" t="s">
        <v>1193</v>
      </c>
      <c r="AU12" s="3" t="s">
        <v>1194</v>
      </c>
      <c r="AV12" s="3" t="s">
        <v>1195</v>
      </c>
      <c r="AW12" s="3" t="s">
        <v>1196</v>
      </c>
      <c r="AX12" s="3" t="s">
        <v>1197</v>
      </c>
      <c r="AY12" s="3" t="s">
        <v>758</v>
      </c>
      <c r="AZ12" s="3" t="s">
        <v>1198</v>
      </c>
      <c r="BA12" s="3" t="s">
        <v>773</v>
      </c>
      <c r="BB12" s="3"/>
      <c r="BC12" s="3" t="s">
        <v>773</v>
      </c>
      <c r="BD12" s="3"/>
      <c r="BE12" s="3" t="s">
        <v>773</v>
      </c>
      <c r="BF12" s="3" t="s">
        <v>1199</v>
      </c>
      <c r="BG12" s="3" t="s">
        <v>773</v>
      </c>
      <c r="BH12" s="3"/>
      <c r="BI12" s="3" t="s">
        <v>773</v>
      </c>
      <c r="BJ12" s="3"/>
      <c r="BK12" s="3" t="s">
        <v>773</v>
      </c>
      <c r="BL12" s="3"/>
      <c r="BM12" s="3" t="s">
        <v>773</v>
      </c>
      <c r="BN12" s="3" t="s">
        <v>1200</v>
      </c>
      <c r="BO12" s="3" t="s">
        <v>773</v>
      </c>
      <c r="BP12" s="3" t="s">
        <v>1201</v>
      </c>
      <c r="BQ12" s="3" t="s">
        <v>773</v>
      </c>
      <c r="BR12" s="3"/>
      <c r="BS12" s="3" t="s">
        <v>773</v>
      </c>
      <c r="BT12" s="3"/>
      <c r="BU12" s="3" t="s">
        <v>773</v>
      </c>
      <c r="BV12" s="3"/>
      <c r="BW12" s="3" t="s">
        <v>773</v>
      </c>
      <c r="BX12" s="3"/>
      <c r="BY12" s="3" t="s">
        <v>773</v>
      </c>
      <c r="BZ12" s="3" t="s">
        <v>1202</v>
      </c>
      <c r="CA12" s="3" t="s">
        <v>773</v>
      </c>
      <c r="CB12" s="3"/>
      <c r="CC12" s="3" t="s">
        <v>773</v>
      </c>
      <c r="CD12" s="3"/>
      <c r="CE12" s="3" t="s">
        <v>1203</v>
      </c>
      <c r="CF12" s="3" t="s">
        <v>773</v>
      </c>
      <c r="CG12" s="3" t="s">
        <v>1204</v>
      </c>
      <c r="CH12" s="3" t="s">
        <v>773</v>
      </c>
      <c r="CI12" s="3" t="s">
        <v>1205</v>
      </c>
      <c r="CJ12" s="3" t="s">
        <v>758</v>
      </c>
      <c r="CK12" s="3" t="s">
        <v>1206</v>
      </c>
      <c r="CL12" s="3" t="s">
        <v>773</v>
      </c>
      <c r="CM12" s="3"/>
      <c r="CN12" s="3" t="s">
        <v>773</v>
      </c>
      <c r="CO12" s="3"/>
      <c r="CP12" s="3" t="s">
        <v>773</v>
      </c>
      <c r="CQ12" s="3"/>
      <c r="CR12" s="3" t="s">
        <v>758</v>
      </c>
      <c r="CS12" s="3" t="s">
        <v>1207</v>
      </c>
      <c r="CT12" s="3" t="s">
        <v>773</v>
      </c>
      <c r="CU12" s="3" t="s">
        <v>1208</v>
      </c>
      <c r="CV12" s="3" t="s">
        <v>773</v>
      </c>
      <c r="CW12" s="3"/>
      <c r="CX12" s="3" t="s">
        <v>773</v>
      </c>
      <c r="CY12" s="3"/>
      <c r="CZ12" s="3" t="s">
        <v>797</v>
      </c>
      <c r="DA12" s="3" t="s">
        <v>1209</v>
      </c>
      <c r="DB12" s="3" t="s">
        <v>797</v>
      </c>
      <c r="DC12" s="3" t="s">
        <v>1210</v>
      </c>
      <c r="DD12" s="3" t="s">
        <v>797</v>
      </c>
      <c r="DE12" s="3" t="s">
        <v>1211</v>
      </c>
      <c r="DF12" s="3" t="s">
        <v>801</v>
      </c>
      <c r="DG12" s="3" t="s">
        <v>1212</v>
      </c>
      <c r="DH12" s="3" t="s">
        <v>804</v>
      </c>
      <c r="DI12" s="3" t="s">
        <v>1213</v>
      </c>
      <c r="DJ12" s="3" t="s">
        <v>804</v>
      </c>
      <c r="DK12" s="3" t="s">
        <v>809</v>
      </c>
      <c r="DL12" s="3" t="s">
        <v>797</v>
      </c>
      <c r="DM12" s="3" t="s">
        <v>1214</v>
      </c>
      <c r="DN12" s="3" t="s">
        <v>746</v>
      </c>
      <c r="DO12" s="3" t="s">
        <v>866</v>
      </c>
      <c r="DP12" s="3" t="s">
        <v>867</v>
      </c>
      <c r="DQ12" s="3" t="s">
        <v>809</v>
      </c>
      <c r="DR12" s="3" t="n">
        <v>22</v>
      </c>
      <c r="DS12" s="3" t="s">
        <v>1215</v>
      </c>
    </row>
    <row r="13" customFormat="false" ht="120" hidden="false" customHeight="true" outlineLevel="0" collapsed="false">
      <c r="A13" s="3" t="s">
        <v>1110</v>
      </c>
      <c r="B13" s="3" t="s">
        <v>746</v>
      </c>
      <c r="C13" s="3" t="s">
        <v>1216</v>
      </c>
      <c r="D13" s="3" t="s">
        <v>1217</v>
      </c>
      <c r="E13" s="3" t="s">
        <v>121</v>
      </c>
      <c r="F13" s="3" t="s">
        <v>1218</v>
      </c>
      <c r="G13" s="3" t="s">
        <v>1219</v>
      </c>
      <c r="H13" s="3" t="s">
        <v>1094</v>
      </c>
      <c r="I13" s="3" t="s">
        <v>1220</v>
      </c>
      <c r="J13" s="3" t="s">
        <v>1045</v>
      </c>
      <c r="K13" s="3" t="s">
        <v>819</v>
      </c>
      <c r="L13" s="3" t="n">
        <v>1</v>
      </c>
      <c r="M13" s="3" t="s">
        <v>1221</v>
      </c>
      <c r="N13" s="3" t="s">
        <v>1222</v>
      </c>
      <c r="O13" s="3" t="s">
        <v>756</v>
      </c>
      <c r="P13" s="3" t="s">
        <v>1223</v>
      </c>
      <c r="Q13" s="3" t="s">
        <v>758</v>
      </c>
      <c r="R13" s="3" t="s">
        <v>1224</v>
      </c>
      <c r="S13" s="3" t="s">
        <v>1225</v>
      </c>
      <c r="T13" s="3" t="s">
        <v>1226</v>
      </c>
      <c r="U13" s="3" t="s">
        <v>1227</v>
      </c>
      <c r="V13" s="3" t="s">
        <v>1007</v>
      </c>
      <c r="W13" s="3" t="s">
        <v>1228</v>
      </c>
      <c r="X13" s="3" t="s">
        <v>1229</v>
      </c>
      <c r="Y13" s="3" t="s">
        <v>1230</v>
      </c>
      <c r="Z13" s="3" t="s">
        <v>1231</v>
      </c>
      <c r="AA13" s="3" t="s">
        <v>1232</v>
      </c>
      <c r="AB13" s="3" t="s">
        <v>1233</v>
      </c>
      <c r="AC13" s="3" t="s">
        <v>831</v>
      </c>
      <c r="AD13" s="3" t="s">
        <v>771</v>
      </c>
      <c r="AE13" s="3" t="s">
        <v>1234</v>
      </c>
      <c r="AF13" s="3" t="s">
        <v>773</v>
      </c>
      <c r="AG13" s="3" t="s">
        <v>1235</v>
      </c>
      <c r="AH13" s="3" t="s">
        <v>1134</v>
      </c>
      <c r="AI13" s="3" t="s">
        <v>1236</v>
      </c>
      <c r="AJ13" s="3" t="s">
        <v>1237</v>
      </c>
      <c r="AK13" s="3" t="s">
        <v>1238</v>
      </c>
      <c r="AL13" s="3" t="s">
        <v>1239</v>
      </c>
      <c r="AM13" s="3" t="s">
        <v>773</v>
      </c>
      <c r="AN13" s="3" t="s">
        <v>758</v>
      </c>
      <c r="AO13" s="3" t="s">
        <v>773</v>
      </c>
      <c r="AP13" s="3" t="n">
        <v>1</v>
      </c>
      <c r="AQ13" s="3" t="s">
        <v>1240</v>
      </c>
      <c r="AR13" s="3" t="s">
        <v>1241</v>
      </c>
      <c r="AS13" s="3" t="s">
        <v>809</v>
      </c>
      <c r="AT13" s="3" t="s">
        <v>809</v>
      </c>
      <c r="AU13" s="3" t="s">
        <v>1242</v>
      </c>
      <c r="AV13" s="3" t="s">
        <v>1243</v>
      </c>
      <c r="AW13" s="3" t="s">
        <v>1244</v>
      </c>
      <c r="AX13" s="3" t="s">
        <v>1245</v>
      </c>
      <c r="AY13" s="3" t="s">
        <v>773</v>
      </c>
      <c r="AZ13" s="3"/>
      <c r="BA13" s="3" t="s">
        <v>773</v>
      </c>
      <c r="BB13" s="3"/>
      <c r="BC13" s="3" t="s">
        <v>773</v>
      </c>
      <c r="BD13" s="3"/>
      <c r="BE13" s="3" t="s">
        <v>773</v>
      </c>
      <c r="BF13" s="3"/>
      <c r="BG13" s="3" t="s">
        <v>773</v>
      </c>
      <c r="BH13" s="3"/>
      <c r="BI13" s="3" t="s">
        <v>773</v>
      </c>
      <c r="BJ13" s="3"/>
      <c r="BK13" s="3" t="s">
        <v>773</v>
      </c>
      <c r="BL13" s="3"/>
      <c r="BM13" s="3" t="s">
        <v>773</v>
      </c>
      <c r="BN13" s="3"/>
      <c r="BO13" s="3" t="s">
        <v>773</v>
      </c>
      <c r="BP13" s="3" t="s">
        <v>1246</v>
      </c>
      <c r="BQ13" s="3" t="s">
        <v>773</v>
      </c>
      <c r="BR13" s="3"/>
      <c r="BS13" s="3" t="s">
        <v>773</v>
      </c>
      <c r="BT13" s="3"/>
      <c r="BU13" s="3" t="s">
        <v>773</v>
      </c>
      <c r="BV13" s="3"/>
      <c r="BW13" s="3" t="s">
        <v>773</v>
      </c>
      <c r="BX13" s="3" t="s">
        <v>1247</v>
      </c>
      <c r="BY13" s="3" t="s">
        <v>773</v>
      </c>
      <c r="BZ13" s="3" t="s">
        <v>1248</v>
      </c>
      <c r="CA13" s="3" t="s">
        <v>758</v>
      </c>
      <c r="CB13" s="3" t="s">
        <v>1249</v>
      </c>
      <c r="CC13" s="3" t="s">
        <v>758</v>
      </c>
      <c r="CD13" s="3" t="s">
        <v>1250</v>
      </c>
      <c r="CE13" s="3" t="s">
        <v>1251</v>
      </c>
      <c r="CF13" s="3" t="s">
        <v>773</v>
      </c>
      <c r="CG13" s="3"/>
      <c r="CH13" s="3" t="s">
        <v>773</v>
      </c>
      <c r="CI13" s="3"/>
      <c r="CJ13" s="3" t="s">
        <v>773</v>
      </c>
      <c r="CK13" s="3"/>
      <c r="CL13" s="3" t="s">
        <v>773</v>
      </c>
      <c r="CM13" s="3"/>
      <c r="CN13" s="3" t="s">
        <v>773</v>
      </c>
      <c r="CO13" s="3" t="s">
        <v>1252</v>
      </c>
      <c r="CP13" s="3" t="s">
        <v>773</v>
      </c>
      <c r="CQ13" s="3" t="s">
        <v>1253</v>
      </c>
      <c r="CR13" s="3" t="s">
        <v>773</v>
      </c>
      <c r="CS13" s="3"/>
      <c r="CT13" s="3" t="s">
        <v>773</v>
      </c>
      <c r="CU13" s="3" t="s">
        <v>858</v>
      </c>
      <c r="CV13" s="3" t="s">
        <v>758</v>
      </c>
      <c r="CW13" s="3" t="s">
        <v>1254</v>
      </c>
      <c r="CX13" s="3" t="s">
        <v>773</v>
      </c>
      <c r="CY13" s="3"/>
      <c r="CZ13" s="3" t="s">
        <v>797</v>
      </c>
      <c r="DA13" s="3" t="s">
        <v>1255</v>
      </c>
      <c r="DB13" s="3" t="s">
        <v>797</v>
      </c>
      <c r="DC13" s="3" t="s">
        <v>1256</v>
      </c>
      <c r="DD13" s="3" t="s">
        <v>797</v>
      </c>
      <c r="DE13" s="3" t="s">
        <v>1257</v>
      </c>
      <c r="DF13" s="3" t="s">
        <v>804</v>
      </c>
      <c r="DG13" s="3" t="s">
        <v>1258</v>
      </c>
      <c r="DH13" s="3" t="s">
        <v>801</v>
      </c>
      <c r="DI13" s="3" t="s">
        <v>1259</v>
      </c>
      <c r="DJ13" s="3" t="s">
        <v>804</v>
      </c>
      <c r="DK13" s="3" t="s">
        <v>1260</v>
      </c>
      <c r="DL13" s="3" t="s">
        <v>797</v>
      </c>
      <c r="DM13" s="3" t="s">
        <v>1261</v>
      </c>
      <c r="DN13" s="3" t="s">
        <v>746</v>
      </c>
      <c r="DO13" s="3" t="s">
        <v>1262</v>
      </c>
      <c r="DP13" s="3" t="s">
        <v>867</v>
      </c>
      <c r="DQ13" s="3" t="s">
        <v>809</v>
      </c>
      <c r="DR13" s="3" t="n">
        <v>20</v>
      </c>
      <c r="DS13" s="3" t="s">
        <v>1263</v>
      </c>
    </row>
    <row r="14" customFormat="false" ht="120" hidden="false" customHeight="true" outlineLevel="0" collapsed="false">
      <c r="A14" s="3" t="s">
        <v>1110</v>
      </c>
      <c r="B14" s="3" t="s">
        <v>746</v>
      </c>
      <c r="C14" s="3" t="s">
        <v>1264</v>
      </c>
      <c r="D14" s="3" t="s">
        <v>1265</v>
      </c>
      <c r="E14" s="3" t="s">
        <v>132</v>
      </c>
      <c r="F14" s="3" t="s">
        <v>1266</v>
      </c>
      <c r="G14" s="3" t="s">
        <v>1267</v>
      </c>
      <c r="H14" s="3" t="s">
        <v>1094</v>
      </c>
      <c r="I14" s="3" t="s">
        <v>1268</v>
      </c>
      <c r="J14" s="3" t="s">
        <v>1045</v>
      </c>
      <c r="K14" s="3" t="s">
        <v>819</v>
      </c>
      <c r="L14" s="3" t="n">
        <v>1</v>
      </c>
      <c r="M14" s="3" t="s">
        <v>133</v>
      </c>
      <c r="N14" s="3" t="s">
        <v>1269</v>
      </c>
      <c r="O14" s="3" t="s">
        <v>756</v>
      </c>
      <c r="P14" s="3" t="s">
        <v>1270</v>
      </c>
      <c r="Q14" s="3" t="s">
        <v>773</v>
      </c>
      <c r="R14" s="3" t="s">
        <v>809</v>
      </c>
      <c r="S14" s="3" t="s">
        <v>1271</v>
      </c>
      <c r="T14" s="3" t="s">
        <v>1272</v>
      </c>
      <c r="U14" s="3" t="s">
        <v>773</v>
      </c>
      <c r="V14" s="3" t="s">
        <v>1273</v>
      </c>
      <c r="W14" s="3" t="s">
        <v>1274</v>
      </c>
      <c r="X14" s="3" t="s">
        <v>1275</v>
      </c>
      <c r="Y14" s="3" t="s">
        <v>1276</v>
      </c>
      <c r="Z14" s="3" t="s">
        <v>1277</v>
      </c>
      <c r="AA14" s="3" t="s">
        <v>1278</v>
      </c>
      <c r="AB14" s="3" t="s">
        <v>1279</v>
      </c>
      <c r="AC14" s="3" t="s">
        <v>1280</v>
      </c>
      <c r="AD14" s="3" t="s">
        <v>1134</v>
      </c>
      <c r="AE14" s="3" t="s">
        <v>1134</v>
      </c>
      <c r="AF14" s="3" t="s">
        <v>1134</v>
      </c>
      <c r="AG14" s="3" t="s">
        <v>1281</v>
      </c>
      <c r="AH14" s="3" t="s">
        <v>1134</v>
      </c>
      <c r="AI14" s="3" t="s">
        <v>1282</v>
      </c>
      <c r="AJ14" s="3" t="s">
        <v>1283</v>
      </c>
      <c r="AK14" s="3" t="s">
        <v>1284</v>
      </c>
      <c r="AL14" s="3" t="s">
        <v>1285</v>
      </c>
      <c r="AM14" s="3" t="s">
        <v>758</v>
      </c>
      <c r="AN14" s="3" t="s">
        <v>773</v>
      </c>
      <c r="AO14" s="3" t="s">
        <v>773</v>
      </c>
      <c r="AP14" s="3" t="n">
        <v>1</v>
      </c>
      <c r="AQ14" s="3" t="s">
        <v>1286</v>
      </c>
      <c r="AR14" s="3" t="s">
        <v>1287</v>
      </c>
      <c r="AS14" s="3" t="s">
        <v>809</v>
      </c>
      <c r="AT14" s="3" t="s">
        <v>809</v>
      </c>
      <c r="AU14" s="3" t="s">
        <v>1242</v>
      </c>
      <c r="AV14" s="3" t="s">
        <v>1288</v>
      </c>
      <c r="AW14" s="3" t="s">
        <v>1289</v>
      </c>
      <c r="AX14" s="3" t="s">
        <v>1290</v>
      </c>
      <c r="AY14" s="3" t="s">
        <v>773</v>
      </c>
      <c r="AZ14" s="3" t="s">
        <v>1291</v>
      </c>
      <c r="BA14" s="3" t="s">
        <v>773</v>
      </c>
      <c r="BB14" s="3"/>
      <c r="BC14" s="3" t="s">
        <v>773</v>
      </c>
      <c r="BD14" s="3"/>
      <c r="BE14" s="3" t="s">
        <v>773</v>
      </c>
      <c r="BF14" s="3"/>
      <c r="BG14" s="3" t="s">
        <v>773</v>
      </c>
      <c r="BH14" s="3"/>
      <c r="BI14" s="3" t="s">
        <v>773</v>
      </c>
      <c r="BJ14" s="3"/>
      <c r="BK14" s="3" t="s">
        <v>773</v>
      </c>
      <c r="BL14" s="3"/>
      <c r="BM14" s="3" t="s">
        <v>773</v>
      </c>
      <c r="BN14" s="3" t="s">
        <v>1292</v>
      </c>
      <c r="BO14" s="3" t="s">
        <v>773</v>
      </c>
      <c r="BP14" s="3"/>
      <c r="BQ14" s="3" t="s">
        <v>773</v>
      </c>
      <c r="BR14" s="3" t="s">
        <v>1293</v>
      </c>
      <c r="BS14" s="3" t="s">
        <v>773</v>
      </c>
      <c r="BT14" s="3"/>
      <c r="BU14" s="3" t="s">
        <v>773</v>
      </c>
      <c r="BV14" s="3"/>
      <c r="BW14" s="3" t="s">
        <v>773</v>
      </c>
      <c r="BX14" s="3"/>
      <c r="BY14" s="3" t="s">
        <v>773</v>
      </c>
      <c r="BZ14" s="3"/>
      <c r="CA14" s="3" t="s">
        <v>773</v>
      </c>
      <c r="CB14" s="3" t="s">
        <v>1294</v>
      </c>
      <c r="CC14" s="3" t="s">
        <v>758</v>
      </c>
      <c r="CD14" s="3" t="s">
        <v>1295</v>
      </c>
      <c r="CE14" s="3" t="s">
        <v>1296</v>
      </c>
      <c r="CF14" s="3" t="s">
        <v>773</v>
      </c>
      <c r="CG14" s="3"/>
      <c r="CH14" s="3" t="s">
        <v>773</v>
      </c>
      <c r="CI14" s="3"/>
      <c r="CJ14" s="3" t="s">
        <v>773</v>
      </c>
      <c r="CK14" s="3" t="s">
        <v>1297</v>
      </c>
      <c r="CL14" s="3" t="s">
        <v>773</v>
      </c>
      <c r="CM14" s="3"/>
      <c r="CN14" s="3" t="s">
        <v>758</v>
      </c>
      <c r="CO14" s="3" t="s">
        <v>1298</v>
      </c>
      <c r="CP14" s="3" t="s">
        <v>773</v>
      </c>
      <c r="CQ14" s="3"/>
      <c r="CR14" s="3" t="s">
        <v>758</v>
      </c>
      <c r="CS14" s="3" t="s">
        <v>1299</v>
      </c>
      <c r="CT14" s="3" t="s">
        <v>773</v>
      </c>
      <c r="CU14" s="3" t="s">
        <v>858</v>
      </c>
      <c r="CV14" s="3" t="s">
        <v>773</v>
      </c>
      <c r="CW14" s="3" t="s">
        <v>1300</v>
      </c>
      <c r="CX14" s="3" t="s">
        <v>773</v>
      </c>
      <c r="CY14" s="3"/>
      <c r="CZ14" s="3" t="s">
        <v>797</v>
      </c>
      <c r="DA14" s="3" t="s">
        <v>1301</v>
      </c>
      <c r="DB14" s="3" t="s">
        <v>797</v>
      </c>
      <c r="DC14" s="3" t="s">
        <v>1302</v>
      </c>
      <c r="DD14" s="3" t="s">
        <v>797</v>
      </c>
      <c r="DE14" s="3" t="s">
        <v>1303</v>
      </c>
      <c r="DF14" s="3" t="s">
        <v>801</v>
      </c>
      <c r="DG14" s="3" t="s">
        <v>1304</v>
      </c>
      <c r="DH14" s="3" t="s">
        <v>804</v>
      </c>
      <c r="DI14" s="3" t="s">
        <v>1305</v>
      </c>
      <c r="DJ14" s="3" t="s">
        <v>804</v>
      </c>
      <c r="DK14" s="3" t="s">
        <v>809</v>
      </c>
      <c r="DL14" s="3" t="s">
        <v>797</v>
      </c>
      <c r="DM14" s="3" t="s">
        <v>1306</v>
      </c>
      <c r="DN14" s="3" t="s">
        <v>746</v>
      </c>
      <c r="DO14" s="3" t="s">
        <v>866</v>
      </c>
      <c r="DP14" s="3" t="s">
        <v>867</v>
      </c>
      <c r="DQ14" s="3" t="s">
        <v>809</v>
      </c>
      <c r="DR14" s="3" t="n">
        <v>7</v>
      </c>
      <c r="DS14" s="3" t="s">
        <v>1307</v>
      </c>
    </row>
    <row r="15" customFormat="false" ht="120" hidden="false" customHeight="true" outlineLevel="0" collapsed="false">
      <c r="A15" s="3" t="s">
        <v>1110</v>
      </c>
      <c r="B15" s="3" t="s">
        <v>746</v>
      </c>
      <c r="C15" s="3" t="s">
        <v>1308</v>
      </c>
      <c r="D15" s="3" t="s">
        <v>1309</v>
      </c>
      <c r="E15" s="3" t="s">
        <v>139</v>
      </c>
      <c r="F15" s="3" t="s">
        <v>1310</v>
      </c>
      <c r="G15" s="3" t="s">
        <v>1311</v>
      </c>
      <c r="H15" s="3" t="s">
        <v>1312</v>
      </c>
      <c r="I15" s="3" t="s">
        <v>1313</v>
      </c>
      <c r="J15" s="3" t="s">
        <v>1045</v>
      </c>
      <c r="K15" s="3" t="s">
        <v>819</v>
      </c>
      <c r="L15" s="3" t="n">
        <v>1</v>
      </c>
      <c r="M15" s="3" t="s">
        <v>141</v>
      </c>
      <c r="N15" s="3" t="s">
        <v>140</v>
      </c>
      <c r="O15" s="3" t="s">
        <v>756</v>
      </c>
      <c r="P15" s="3" t="s">
        <v>1314</v>
      </c>
      <c r="Q15" s="3" t="s">
        <v>773</v>
      </c>
      <c r="R15" s="3" t="s">
        <v>809</v>
      </c>
      <c r="S15" s="3" t="s">
        <v>1315</v>
      </c>
      <c r="T15" s="3" t="s">
        <v>1316</v>
      </c>
      <c r="U15" s="3" t="s">
        <v>773</v>
      </c>
      <c r="V15" s="3" t="s">
        <v>1007</v>
      </c>
      <c r="W15" s="3" t="s">
        <v>1317</v>
      </c>
      <c r="X15" s="3" t="s">
        <v>1318</v>
      </c>
      <c r="Y15" s="3" t="s">
        <v>1319</v>
      </c>
      <c r="Z15" s="3" t="s">
        <v>1320</v>
      </c>
      <c r="AA15" s="3" t="s">
        <v>1321</v>
      </c>
      <c r="AB15" s="3" t="s">
        <v>769</v>
      </c>
      <c r="AC15" s="3" t="s">
        <v>831</v>
      </c>
      <c r="AD15" s="3" t="s">
        <v>1322</v>
      </c>
      <c r="AE15" s="3" t="s">
        <v>1323</v>
      </c>
      <c r="AF15" s="3" t="s">
        <v>773</v>
      </c>
      <c r="AG15" s="3" t="s">
        <v>1324</v>
      </c>
      <c r="AH15" s="3" t="s">
        <v>772</v>
      </c>
      <c r="AI15" s="3" t="s">
        <v>1325</v>
      </c>
      <c r="AJ15" s="3" t="s">
        <v>1326</v>
      </c>
      <c r="AK15" s="3" t="s">
        <v>1327</v>
      </c>
      <c r="AL15" s="3" t="s">
        <v>1328</v>
      </c>
      <c r="AM15" s="3" t="s">
        <v>758</v>
      </c>
      <c r="AN15" s="3" t="s">
        <v>758</v>
      </c>
      <c r="AO15" s="3" t="s">
        <v>773</v>
      </c>
      <c r="AP15" s="3" t="n">
        <v>4</v>
      </c>
      <c r="AQ15" s="3" t="s">
        <v>1329</v>
      </c>
      <c r="AR15" s="3" t="s">
        <v>758</v>
      </c>
      <c r="AS15" s="3" t="s">
        <v>1330</v>
      </c>
      <c r="AT15" s="3" t="s">
        <v>1331</v>
      </c>
      <c r="AU15" s="3" t="s">
        <v>1332</v>
      </c>
      <c r="AV15" s="3" t="s">
        <v>1333</v>
      </c>
      <c r="AW15" s="3" t="s">
        <v>1334</v>
      </c>
      <c r="AX15" s="3" t="s">
        <v>1335</v>
      </c>
      <c r="AY15" s="3" t="s">
        <v>758</v>
      </c>
      <c r="AZ15" s="3" t="s">
        <v>1336</v>
      </c>
      <c r="BA15" s="3" t="s">
        <v>773</v>
      </c>
      <c r="BB15" s="3" t="s">
        <v>1337</v>
      </c>
      <c r="BC15" s="3" t="s">
        <v>773</v>
      </c>
      <c r="BD15" s="3"/>
      <c r="BE15" s="3" t="s">
        <v>773</v>
      </c>
      <c r="BF15" s="3"/>
      <c r="BG15" s="3" t="s">
        <v>773</v>
      </c>
      <c r="BH15" s="3"/>
      <c r="BI15" s="3" t="s">
        <v>773</v>
      </c>
      <c r="BJ15" s="3"/>
      <c r="BK15" s="3" t="s">
        <v>773</v>
      </c>
      <c r="BL15" s="3"/>
      <c r="BM15" s="3" t="s">
        <v>773</v>
      </c>
      <c r="BN15" s="3"/>
      <c r="BO15" s="3" t="s">
        <v>758</v>
      </c>
      <c r="BP15" s="3" t="s">
        <v>1338</v>
      </c>
      <c r="BQ15" s="3" t="s">
        <v>758</v>
      </c>
      <c r="BR15" s="3" t="s">
        <v>1339</v>
      </c>
      <c r="BS15" s="3" t="s">
        <v>773</v>
      </c>
      <c r="BT15" s="3"/>
      <c r="BU15" s="3" t="s">
        <v>773</v>
      </c>
      <c r="BV15" s="3" t="s">
        <v>1340</v>
      </c>
      <c r="BW15" s="3" t="s">
        <v>773</v>
      </c>
      <c r="BX15" s="3"/>
      <c r="BY15" s="3" t="s">
        <v>773</v>
      </c>
      <c r="BZ15" s="3"/>
      <c r="CA15" s="3" t="s">
        <v>773</v>
      </c>
      <c r="CB15" s="3"/>
      <c r="CC15" s="3" t="s">
        <v>773</v>
      </c>
      <c r="CD15" s="3"/>
      <c r="CE15" s="3" t="s">
        <v>1341</v>
      </c>
      <c r="CF15" s="3" t="s">
        <v>773</v>
      </c>
      <c r="CG15" s="3" t="s">
        <v>1342</v>
      </c>
      <c r="CH15" s="3" t="s">
        <v>758</v>
      </c>
      <c r="CI15" s="3" t="s">
        <v>1343</v>
      </c>
      <c r="CJ15" s="3" t="s">
        <v>773</v>
      </c>
      <c r="CK15" s="3"/>
      <c r="CL15" s="3" t="s">
        <v>773</v>
      </c>
      <c r="CM15" s="3"/>
      <c r="CN15" s="3" t="s">
        <v>773</v>
      </c>
      <c r="CO15" s="3"/>
      <c r="CP15" s="3" t="s">
        <v>773</v>
      </c>
      <c r="CQ15" s="3" t="s">
        <v>1344</v>
      </c>
      <c r="CR15" s="3" t="s">
        <v>773</v>
      </c>
      <c r="CS15" s="3"/>
      <c r="CT15" s="3" t="s">
        <v>773</v>
      </c>
      <c r="CU15" s="3" t="s">
        <v>1345</v>
      </c>
      <c r="CV15" s="3" t="s">
        <v>773</v>
      </c>
      <c r="CW15" s="3" t="s">
        <v>1346</v>
      </c>
      <c r="CX15" s="3" t="s">
        <v>773</v>
      </c>
      <c r="CY15" s="3"/>
      <c r="CZ15" s="3" t="s">
        <v>797</v>
      </c>
      <c r="DA15" s="3" t="s">
        <v>1347</v>
      </c>
      <c r="DB15" s="3" t="s">
        <v>797</v>
      </c>
      <c r="DC15" s="3" t="s">
        <v>1348</v>
      </c>
      <c r="DD15" s="3" t="s">
        <v>797</v>
      </c>
      <c r="DE15" s="3" t="s">
        <v>1349</v>
      </c>
      <c r="DF15" s="3" t="s">
        <v>801</v>
      </c>
      <c r="DG15" s="3" t="s">
        <v>1350</v>
      </c>
      <c r="DH15" s="3" t="s">
        <v>801</v>
      </c>
      <c r="DI15" s="3" t="s">
        <v>1351</v>
      </c>
      <c r="DJ15" s="3" t="s">
        <v>804</v>
      </c>
      <c r="DK15" s="3" t="s">
        <v>809</v>
      </c>
      <c r="DL15" s="3" t="s">
        <v>797</v>
      </c>
      <c r="DM15" s="3" t="s">
        <v>1352</v>
      </c>
      <c r="DN15" s="3" t="s">
        <v>746</v>
      </c>
      <c r="DO15" s="3" t="s">
        <v>807</v>
      </c>
      <c r="DP15" s="3" t="s">
        <v>867</v>
      </c>
      <c r="DQ15" s="3" t="s">
        <v>809</v>
      </c>
      <c r="DR15" s="3" t="n">
        <v>26</v>
      </c>
      <c r="DS15" s="3" t="s">
        <v>1353</v>
      </c>
    </row>
  </sheetData>
  <autoFilter ref="A2:DS15"/>
  <mergeCells count="10">
    <mergeCell ref="A1:D1"/>
    <mergeCell ref="E1:K1"/>
    <mergeCell ref="L1:U1"/>
    <mergeCell ref="V1:AI1"/>
    <mergeCell ref="AJ1:AL1"/>
    <mergeCell ref="AM1:AU1"/>
    <mergeCell ref="AV1:AX1"/>
    <mergeCell ref="AY1:CE1"/>
    <mergeCell ref="CF1:CY1"/>
    <mergeCell ref="CZ1:D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34"/>
    <col collapsed="false" customWidth="true" hidden="false" outlineLevel="0" max="3" min="3" style="1" width="26"/>
    <col collapsed="false" customWidth="true" hidden="false" outlineLevel="0" max="4" min="4" style="1" width="12"/>
    <col collapsed="false" customWidth="true" hidden="false" outlineLevel="0" max="5" min="5" style="1" width="34"/>
    <col collapsed="false" customWidth="true" hidden="false" outlineLevel="0" max="6" min="6" style="1" width="20"/>
    <col collapsed="false" customWidth="true" hidden="false" outlineLevel="0" max="7" min="7" style="1" width="30"/>
    <col collapsed="false" customWidth="true" hidden="false" outlineLevel="0" max="8" min="8" style="1" width="40"/>
    <col collapsed="false" customWidth="true" hidden="false" outlineLevel="0" max="9" min="9" style="1" width="36"/>
    <col collapsed="false" customWidth="true" hidden="false" outlineLevel="0" max="10" min="10" style="1" width="60"/>
  </cols>
  <sheetData>
    <row r="1" customFormat="false" ht="15" hidden="false" customHeight="true" outlineLevel="0" collapsed="false">
      <c r="A1" s="22" t="s">
        <v>626</v>
      </c>
      <c r="B1" s="22" t="s">
        <v>1354</v>
      </c>
      <c r="C1" s="22" t="s">
        <v>1355</v>
      </c>
      <c r="D1" s="22" t="s">
        <v>1356</v>
      </c>
      <c r="E1" s="22" t="s">
        <v>1357</v>
      </c>
      <c r="F1" s="22" t="s">
        <v>1358</v>
      </c>
      <c r="G1" s="22" t="s">
        <v>1359</v>
      </c>
      <c r="H1" s="22" t="s">
        <v>1360</v>
      </c>
      <c r="I1" s="22" t="s">
        <v>1361</v>
      </c>
      <c r="J1" s="22" t="s">
        <v>1362</v>
      </c>
    </row>
    <row r="2" customFormat="false" ht="36" hidden="false" customHeight="true" outlineLevel="0" collapsed="false">
      <c r="A2" s="4" t="s">
        <v>749</v>
      </c>
      <c r="B2" s="3" t="s">
        <v>1363</v>
      </c>
      <c r="C2" s="3" t="s">
        <v>59</v>
      </c>
      <c r="D2" s="3" t="s">
        <v>1364</v>
      </c>
      <c r="E2" s="3" t="s">
        <v>1365</v>
      </c>
      <c r="F2" s="3" t="s">
        <v>1366</v>
      </c>
      <c r="G2" s="3" t="s">
        <v>1367</v>
      </c>
      <c r="H2" s="3" t="s">
        <v>1368</v>
      </c>
      <c r="I2" s="3" t="s">
        <v>1369</v>
      </c>
      <c r="J2" s="3" t="s">
        <v>1370</v>
      </c>
    </row>
    <row r="3" customFormat="false" ht="37.5" hidden="false" customHeight="true" outlineLevel="0" collapsed="false">
      <c r="A3" s="4" t="s">
        <v>749</v>
      </c>
      <c r="B3" s="3" t="s">
        <v>1371</v>
      </c>
      <c r="C3" s="3" t="s">
        <v>1372</v>
      </c>
      <c r="D3" s="3" t="s">
        <v>1373</v>
      </c>
      <c r="E3" s="3" t="s">
        <v>1374</v>
      </c>
      <c r="F3" s="3" t="s">
        <v>1375</v>
      </c>
      <c r="G3" s="3" t="s">
        <v>1376</v>
      </c>
      <c r="H3" s="3" t="s">
        <v>1377</v>
      </c>
      <c r="I3" s="3" t="s">
        <v>1378</v>
      </c>
      <c r="J3" s="3" t="s">
        <v>1379</v>
      </c>
    </row>
    <row r="4" customFormat="false" ht="81" hidden="false" customHeight="true" outlineLevel="0" collapsed="false">
      <c r="A4" s="4" t="s">
        <v>52</v>
      </c>
      <c r="B4" s="3" t="s">
        <v>1363</v>
      </c>
      <c r="C4" s="3" t="s">
        <v>59</v>
      </c>
      <c r="D4" s="3" t="s">
        <v>60</v>
      </c>
      <c r="E4" s="3" t="s">
        <v>1380</v>
      </c>
      <c r="F4" s="3" t="s">
        <v>1381</v>
      </c>
      <c r="G4" s="3" t="s">
        <v>1382</v>
      </c>
      <c r="H4" s="3" t="s">
        <v>1383</v>
      </c>
      <c r="I4" s="3" t="s">
        <v>1384</v>
      </c>
      <c r="J4" s="3" t="s">
        <v>1385</v>
      </c>
    </row>
    <row r="5" customFormat="false" ht="84" hidden="false" customHeight="true" outlineLevel="0" collapsed="false">
      <c r="A5" s="4" t="s">
        <v>65</v>
      </c>
      <c r="B5" s="3" t="s">
        <v>1363</v>
      </c>
      <c r="C5" s="3" t="s">
        <v>59</v>
      </c>
      <c r="D5" s="3" t="s">
        <v>60</v>
      </c>
      <c r="E5" s="3" t="s">
        <v>1386</v>
      </c>
      <c r="F5" s="3" t="s">
        <v>1387</v>
      </c>
      <c r="G5" s="3" t="s">
        <v>1388</v>
      </c>
      <c r="H5" s="3" t="s">
        <v>1389</v>
      </c>
      <c r="I5" s="3" t="s">
        <v>1390</v>
      </c>
      <c r="J5" s="3" t="s">
        <v>1391</v>
      </c>
    </row>
    <row r="6" customFormat="false" ht="48.75" hidden="false" customHeight="true" outlineLevel="0" collapsed="false">
      <c r="A6" s="4" t="s">
        <v>65</v>
      </c>
      <c r="B6" s="3" t="s">
        <v>1392</v>
      </c>
      <c r="C6" s="3" t="s">
        <v>1393</v>
      </c>
      <c r="D6" s="3" t="s">
        <v>128</v>
      </c>
      <c r="E6" s="3" t="s">
        <v>1394</v>
      </c>
      <c r="F6" s="3" t="s">
        <v>1395</v>
      </c>
      <c r="G6" s="3" t="s">
        <v>1396</v>
      </c>
      <c r="H6" s="3" t="s">
        <v>1397</v>
      </c>
      <c r="I6" s="3" t="s">
        <v>1398</v>
      </c>
      <c r="J6" s="3" t="s">
        <v>1399</v>
      </c>
    </row>
    <row r="7" customFormat="false" ht="79.5" hidden="false" customHeight="true" outlineLevel="0" collapsed="false">
      <c r="A7" s="4" t="s">
        <v>74</v>
      </c>
      <c r="B7" s="3" t="s">
        <v>1400</v>
      </c>
      <c r="C7" s="3" t="s">
        <v>1401</v>
      </c>
      <c r="D7" s="3" t="s">
        <v>128</v>
      </c>
      <c r="E7" s="3" t="s">
        <v>1402</v>
      </c>
      <c r="F7" s="3" t="s">
        <v>1403</v>
      </c>
      <c r="G7" s="3" t="s">
        <v>1404</v>
      </c>
      <c r="H7" s="3" t="s">
        <v>1405</v>
      </c>
      <c r="I7" s="3" t="s">
        <v>1406</v>
      </c>
      <c r="J7" s="3" t="s">
        <v>1407</v>
      </c>
    </row>
    <row r="8" customFormat="false" ht="47.25" hidden="false" customHeight="true" outlineLevel="0" collapsed="false">
      <c r="A8" s="4" t="s">
        <v>74</v>
      </c>
      <c r="B8" s="3" t="s">
        <v>1408</v>
      </c>
      <c r="C8" s="3" t="s">
        <v>59</v>
      </c>
      <c r="D8" s="3" t="s">
        <v>60</v>
      </c>
      <c r="E8" s="3" t="s">
        <v>1409</v>
      </c>
      <c r="F8" s="3" t="s">
        <v>1410</v>
      </c>
      <c r="G8" s="3" t="s">
        <v>1411</v>
      </c>
      <c r="H8" s="3" t="s">
        <v>1412</v>
      </c>
      <c r="I8" s="3" t="s">
        <v>1413</v>
      </c>
      <c r="J8" s="3" t="s">
        <v>1414</v>
      </c>
    </row>
    <row r="9" customFormat="false" ht="68.25" hidden="false" customHeight="true" outlineLevel="0" collapsed="false">
      <c r="A9" s="4" t="s">
        <v>147</v>
      </c>
      <c r="B9" s="3" t="s">
        <v>1415</v>
      </c>
      <c r="C9" s="3" t="s">
        <v>1416</v>
      </c>
      <c r="D9" s="3" t="s">
        <v>60</v>
      </c>
      <c r="E9" s="3" t="s">
        <v>1417</v>
      </c>
      <c r="F9" s="3" t="s">
        <v>1418</v>
      </c>
      <c r="G9" s="3" t="s">
        <v>1419</v>
      </c>
      <c r="H9" s="3" t="s">
        <v>1420</v>
      </c>
      <c r="I9" s="3" t="s">
        <v>1421</v>
      </c>
      <c r="J9" s="3" t="s">
        <v>1422</v>
      </c>
    </row>
    <row r="10" customFormat="false" ht="96.75" hidden="false" customHeight="true" outlineLevel="0" collapsed="false">
      <c r="A10" s="4" t="s">
        <v>84</v>
      </c>
      <c r="B10" s="3" t="s">
        <v>1363</v>
      </c>
      <c r="C10" s="3" t="s">
        <v>59</v>
      </c>
      <c r="D10" s="3" t="s">
        <v>60</v>
      </c>
      <c r="E10" s="3" t="s">
        <v>1423</v>
      </c>
      <c r="F10" s="3" t="s">
        <v>1424</v>
      </c>
      <c r="G10" s="3" t="s">
        <v>1425</v>
      </c>
      <c r="H10" s="3" t="s">
        <v>1426</v>
      </c>
      <c r="I10" s="3" t="s">
        <v>1427</v>
      </c>
      <c r="J10" s="3" t="s">
        <v>1428</v>
      </c>
    </row>
    <row r="11" customFormat="false" ht="68.25" hidden="false" customHeight="true" outlineLevel="0" collapsed="false">
      <c r="A11" s="4" t="s">
        <v>84</v>
      </c>
      <c r="B11" s="3" t="s">
        <v>1371</v>
      </c>
      <c r="C11" s="3" t="s">
        <v>1372</v>
      </c>
      <c r="D11" s="3" t="s">
        <v>128</v>
      </c>
      <c r="E11" s="3" t="s">
        <v>1429</v>
      </c>
      <c r="F11" s="3" t="s">
        <v>1430</v>
      </c>
      <c r="G11" s="3" t="s">
        <v>1431</v>
      </c>
      <c r="H11" s="3" t="s">
        <v>1432</v>
      </c>
      <c r="I11" s="3" t="s">
        <v>1378</v>
      </c>
      <c r="J11" s="3" t="s">
        <v>1433</v>
      </c>
    </row>
    <row r="12" customFormat="false" ht="103.5" hidden="false" customHeight="true" outlineLevel="0" collapsed="false">
      <c r="A12" s="4" t="s">
        <v>93</v>
      </c>
      <c r="B12" s="3" t="s">
        <v>1363</v>
      </c>
      <c r="C12" s="3" t="s">
        <v>59</v>
      </c>
      <c r="D12" s="3" t="s">
        <v>60</v>
      </c>
      <c r="E12" s="3" t="s">
        <v>1434</v>
      </c>
      <c r="F12" s="3" t="s">
        <v>1435</v>
      </c>
      <c r="G12" s="3" t="s">
        <v>1436</v>
      </c>
      <c r="H12" s="3" t="s">
        <v>1437</v>
      </c>
      <c r="I12" s="3" t="s">
        <v>1438</v>
      </c>
      <c r="J12" s="3" t="s">
        <v>1439</v>
      </c>
    </row>
    <row r="13" customFormat="false" ht="105" hidden="false" customHeight="true" outlineLevel="0" collapsed="false">
      <c r="A13" s="4" t="s">
        <v>93</v>
      </c>
      <c r="B13" s="3" t="s">
        <v>1440</v>
      </c>
      <c r="C13" s="3" t="s">
        <v>1441</v>
      </c>
      <c r="D13" s="3" t="s">
        <v>128</v>
      </c>
      <c r="E13" s="3" t="s">
        <v>1442</v>
      </c>
      <c r="F13" s="3" t="s">
        <v>1443</v>
      </c>
      <c r="G13" s="3" t="s">
        <v>1444</v>
      </c>
      <c r="H13" s="3" t="s">
        <v>1445</v>
      </c>
      <c r="I13" s="3" t="s">
        <v>1446</v>
      </c>
      <c r="J13" s="3" t="s">
        <v>1447</v>
      </c>
    </row>
    <row r="14" customFormat="false" ht="157.5" hidden="false" customHeight="true" outlineLevel="0" collapsed="false">
      <c r="A14" s="4" t="s">
        <v>104</v>
      </c>
      <c r="B14" s="3" t="s">
        <v>1448</v>
      </c>
      <c r="C14" s="3" t="s">
        <v>1449</v>
      </c>
      <c r="D14" s="3" t="s">
        <v>60</v>
      </c>
      <c r="E14" s="3" t="s">
        <v>1450</v>
      </c>
      <c r="F14" s="3" t="s">
        <v>1451</v>
      </c>
      <c r="G14" s="3" t="s">
        <v>1452</v>
      </c>
      <c r="H14" s="3" t="s">
        <v>1453</v>
      </c>
      <c r="I14" s="3" t="s">
        <v>1454</v>
      </c>
      <c r="J14" s="3" t="s">
        <v>1455</v>
      </c>
    </row>
    <row r="15" customFormat="false" ht="135.75" hidden="false" customHeight="true" outlineLevel="0" collapsed="false">
      <c r="A15" s="4" t="s">
        <v>113</v>
      </c>
      <c r="B15" s="3" t="s">
        <v>1456</v>
      </c>
      <c r="C15" s="3" t="s">
        <v>59</v>
      </c>
      <c r="D15" s="3" t="s">
        <v>60</v>
      </c>
      <c r="E15" s="3" t="s">
        <v>1457</v>
      </c>
      <c r="F15" s="3" t="s">
        <v>1458</v>
      </c>
      <c r="G15" s="3" t="s">
        <v>1459</v>
      </c>
      <c r="H15" s="3" t="s">
        <v>1460</v>
      </c>
      <c r="I15" s="3" t="s">
        <v>1461</v>
      </c>
      <c r="J15" s="3" t="s">
        <v>1462</v>
      </c>
    </row>
    <row r="16" customFormat="false" ht="135.75" hidden="false" customHeight="true" outlineLevel="0" collapsed="false">
      <c r="A16" s="4" t="s">
        <v>121</v>
      </c>
      <c r="B16" s="3" t="s">
        <v>1463</v>
      </c>
      <c r="C16" s="3" t="s">
        <v>1464</v>
      </c>
      <c r="D16" s="3" t="s">
        <v>128</v>
      </c>
      <c r="E16" s="3" t="s">
        <v>1465</v>
      </c>
      <c r="F16" s="3" t="s">
        <v>1466</v>
      </c>
      <c r="G16" s="3" t="s">
        <v>1467</v>
      </c>
      <c r="H16" s="3" t="s">
        <v>1468</v>
      </c>
      <c r="I16" s="3" t="s">
        <v>1469</v>
      </c>
      <c r="J16" s="3" t="s">
        <v>1470</v>
      </c>
    </row>
    <row r="17" customFormat="false" ht="124.5" hidden="false" customHeight="true" outlineLevel="0" collapsed="false">
      <c r="A17" s="4" t="s">
        <v>132</v>
      </c>
      <c r="B17" s="3" t="s">
        <v>1471</v>
      </c>
      <c r="C17" s="3" t="s">
        <v>1449</v>
      </c>
      <c r="D17" s="3" t="s">
        <v>60</v>
      </c>
      <c r="E17" s="3" t="s">
        <v>1472</v>
      </c>
      <c r="F17" s="3" t="s">
        <v>1473</v>
      </c>
      <c r="G17" s="3" t="s">
        <v>1474</v>
      </c>
      <c r="H17" s="3" t="s">
        <v>1475</v>
      </c>
      <c r="I17" s="3" t="s">
        <v>1476</v>
      </c>
      <c r="J17" s="3" t="s">
        <v>1477</v>
      </c>
    </row>
    <row r="18" customFormat="false" ht="90.75" hidden="false" customHeight="true" outlineLevel="0" collapsed="false">
      <c r="A18" s="4" t="s">
        <v>139</v>
      </c>
      <c r="B18" s="3" t="s">
        <v>1478</v>
      </c>
      <c r="C18" s="3" t="s">
        <v>1479</v>
      </c>
      <c r="D18" s="3" t="s">
        <v>60</v>
      </c>
      <c r="E18" s="3" t="s">
        <v>1480</v>
      </c>
      <c r="F18" s="3" t="s">
        <v>1481</v>
      </c>
      <c r="G18" s="3" t="s">
        <v>1482</v>
      </c>
      <c r="H18" s="3" t="s">
        <v>1483</v>
      </c>
      <c r="I18" s="3" t="s">
        <v>1484</v>
      </c>
      <c r="J18" s="3" t="s">
        <v>1485</v>
      </c>
    </row>
    <row r="19" customFormat="false" ht="90.75" hidden="false" customHeight="true" outlineLevel="0" collapsed="false">
      <c r="A19" s="4" t="s">
        <v>139</v>
      </c>
      <c r="B19" s="3" t="s">
        <v>1486</v>
      </c>
      <c r="C19" s="3" t="s">
        <v>1487</v>
      </c>
      <c r="D19" s="3" t="s">
        <v>1488</v>
      </c>
      <c r="E19" s="3" t="s">
        <v>1489</v>
      </c>
      <c r="F19" s="3" t="s">
        <v>1490</v>
      </c>
      <c r="G19" s="3" t="s">
        <v>1491</v>
      </c>
      <c r="H19" s="3" t="s">
        <v>1492</v>
      </c>
      <c r="I19" s="3" t="s">
        <v>1493</v>
      </c>
      <c r="J19" s="3" t="s">
        <v>1494</v>
      </c>
    </row>
    <row r="20" customFormat="false" ht="68.25" hidden="false" customHeight="true" outlineLevel="0" collapsed="false">
      <c r="A20" s="4" t="s">
        <v>139</v>
      </c>
      <c r="B20" s="3" t="s">
        <v>1495</v>
      </c>
      <c r="C20" s="3" t="s">
        <v>1496</v>
      </c>
      <c r="D20" s="3" t="s">
        <v>128</v>
      </c>
      <c r="E20" s="3" t="s">
        <v>1497</v>
      </c>
      <c r="F20" s="3" t="s">
        <v>1498</v>
      </c>
      <c r="G20" s="3" t="s">
        <v>1499</v>
      </c>
      <c r="H20" s="3" t="s">
        <v>1500</v>
      </c>
      <c r="I20" s="3" t="s">
        <v>1501</v>
      </c>
      <c r="J20" s="3" t="s">
        <v>1502</v>
      </c>
    </row>
    <row r="21" customFormat="false" ht="102" hidden="false" customHeight="true" outlineLevel="0" collapsed="false">
      <c r="A21" s="4" t="s">
        <v>139</v>
      </c>
      <c r="B21" s="3" t="s">
        <v>1503</v>
      </c>
      <c r="C21" s="3" t="s">
        <v>1372</v>
      </c>
      <c r="D21" s="3" t="s">
        <v>128</v>
      </c>
      <c r="E21" s="3" t="s">
        <v>1504</v>
      </c>
      <c r="F21" s="3" t="s">
        <v>1505</v>
      </c>
      <c r="G21" s="3" t="s">
        <v>1506</v>
      </c>
      <c r="H21" s="3" t="s">
        <v>1507</v>
      </c>
      <c r="I21" s="3" t="s">
        <v>1508</v>
      </c>
      <c r="J21" s="3" t="s">
        <v>1509</v>
      </c>
    </row>
  </sheetData>
  <autoFilter ref="A1:J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30"/>
    <col collapsed="false" customWidth="true" hidden="false" outlineLevel="0" max="4" min="3" style="1" width="26"/>
    <col collapsed="false" customWidth="true" hidden="false" outlineLevel="0" max="5" min="5" style="1" width="9"/>
    <col collapsed="false" customWidth="true" hidden="false" outlineLevel="0" max="6" min="6" style="1" width="34"/>
    <col collapsed="false" customWidth="true" hidden="false" outlineLevel="0" max="7" min="7" style="1" width="9"/>
    <col collapsed="false" customWidth="true" hidden="false" outlineLevel="0" max="8" min="8" style="1" width="18"/>
    <col collapsed="false" customWidth="true" hidden="false" outlineLevel="0" max="9" min="9" style="1" width="10"/>
    <col collapsed="false" customWidth="true" hidden="false" outlineLevel="0" max="10" min="10" style="1" width="44"/>
    <col collapsed="false" customWidth="true" hidden="false" outlineLevel="0" max="11" min="11" style="1" width="30"/>
  </cols>
  <sheetData>
    <row r="1" customFormat="false" ht="23.25" hidden="false" customHeight="true" outlineLevel="0" collapsed="false">
      <c r="A1" s="22" t="s">
        <v>626</v>
      </c>
      <c r="B1" s="22" t="s">
        <v>1510</v>
      </c>
      <c r="C1" s="22" t="s">
        <v>634</v>
      </c>
      <c r="D1" s="22" t="s">
        <v>635</v>
      </c>
      <c r="E1" s="22" t="s">
        <v>636</v>
      </c>
      <c r="F1" s="22" t="s">
        <v>637</v>
      </c>
      <c r="G1" s="22" t="s">
        <v>638</v>
      </c>
      <c r="H1" s="22" t="s">
        <v>639</v>
      </c>
      <c r="I1" s="22" t="s">
        <v>640</v>
      </c>
      <c r="J1" s="22" t="s">
        <v>641</v>
      </c>
      <c r="K1" s="22" t="s">
        <v>642</v>
      </c>
    </row>
    <row r="2" customFormat="false" ht="34.5" hidden="false" customHeight="true" outlineLevel="0" collapsed="false">
      <c r="A2" s="4" t="s">
        <v>749</v>
      </c>
      <c r="B2" s="3" t="s">
        <v>1511</v>
      </c>
      <c r="C2" s="23" t="s">
        <v>42</v>
      </c>
      <c r="D2" s="3" t="s">
        <v>41</v>
      </c>
      <c r="E2" s="3" t="s">
        <v>756</v>
      </c>
      <c r="F2" s="3" t="s">
        <v>757</v>
      </c>
      <c r="G2" s="3" t="s">
        <v>758</v>
      </c>
      <c r="H2" s="3" t="s">
        <v>759</v>
      </c>
      <c r="I2" s="3" t="s">
        <v>760</v>
      </c>
      <c r="J2" s="3" t="s">
        <v>761</v>
      </c>
      <c r="K2" s="3" t="s">
        <v>762</v>
      </c>
    </row>
    <row r="3" customFormat="false" ht="45.75" hidden="false" customHeight="true" outlineLevel="0" collapsed="false">
      <c r="A3" s="4" t="s">
        <v>52</v>
      </c>
      <c r="B3" s="3" t="s">
        <v>1511</v>
      </c>
      <c r="C3" s="23" t="s">
        <v>820</v>
      </c>
      <c r="D3" s="3" t="s">
        <v>54</v>
      </c>
      <c r="E3" s="3" t="s">
        <v>756</v>
      </c>
      <c r="F3" s="3" t="s">
        <v>821</v>
      </c>
      <c r="G3" s="3" t="s">
        <v>773</v>
      </c>
      <c r="H3" s="3" t="s">
        <v>809</v>
      </c>
      <c r="I3" s="3" t="s">
        <v>822</v>
      </c>
      <c r="J3" s="3" t="s">
        <v>823</v>
      </c>
      <c r="K3" s="3" t="s">
        <v>773</v>
      </c>
    </row>
    <row r="4" customFormat="false" ht="45.75" hidden="false" customHeight="true" outlineLevel="0" collapsed="false">
      <c r="A4" s="4" t="s">
        <v>65</v>
      </c>
      <c r="B4" s="3" t="s">
        <v>1511</v>
      </c>
      <c r="C4" s="23" t="s">
        <v>67</v>
      </c>
      <c r="D4" s="3" t="s">
        <v>66</v>
      </c>
      <c r="E4" s="3" t="s">
        <v>756</v>
      </c>
      <c r="F4" s="3" t="s">
        <v>872</v>
      </c>
      <c r="G4" s="3" t="s">
        <v>773</v>
      </c>
      <c r="H4" s="3" t="s">
        <v>809</v>
      </c>
      <c r="I4" s="3" t="s">
        <v>873</v>
      </c>
      <c r="J4" s="3" t="s">
        <v>874</v>
      </c>
      <c r="K4" s="3" t="s">
        <v>773</v>
      </c>
    </row>
    <row r="5" customFormat="false" ht="57" hidden="false" customHeight="true" outlineLevel="0" collapsed="false">
      <c r="A5" s="4" t="s">
        <v>74</v>
      </c>
      <c r="B5" s="3" t="s">
        <v>1511</v>
      </c>
      <c r="C5" s="23" t="s">
        <v>76</v>
      </c>
      <c r="D5" s="3" t="s">
        <v>75</v>
      </c>
      <c r="E5" s="3" t="s">
        <v>756</v>
      </c>
      <c r="F5" s="3" t="s">
        <v>913</v>
      </c>
      <c r="G5" s="3" t="s">
        <v>758</v>
      </c>
      <c r="H5" s="3" t="s">
        <v>914</v>
      </c>
      <c r="I5" s="3" t="s">
        <v>915</v>
      </c>
      <c r="J5" s="3" t="s">
        <v>916</v>
      </c>
      <c r="K5" s="3" t="s">
        <v>917</v>
      </c>
    </row>
    <row r="6" customFormat="false" ht="34.5" hidden="false" customHeight="true" outlineLevel="0" collapsed="false">
      <c r="A6" s="4" t="s">
        <v>147</v>
      </c>
      <c r="B6" s="3" t="s">
        <v>1512</v>
      </c>
      <c r="C6" s="3" t="s">
        <v>1513</v>
      </c>
      <c r="D6" s="3" t="s">
        <v>1514</v>
      </c>
      <c r="E6" s="3" t="s">
        <v>756</v>
      </c>
      <c r="F6" s="3" t="s">
        <v>1515</v>
      </c>
      <c r="G6" s="3" t="s">
        <v>773</v>
      </c>
      <c r="H6" s="3" t="s">
        <v>809</v>
      </c>
      <c r="I6" s="3" t="s">
        <v>1516</v>
      </c>
      <c r="J6" s="3" t="s">
        <v>1517</v>
      </c>
      <c r="K6" s="3" t="s">
        <v>773</v>
      </c>
    </row>
    <row r="7" customFormat="false" ht="34.5" hidden="false" customHeight="true" outlineLevel="0" collapsed="false">
      <c r="A7" s="4" t="s">
        <v>147</v>
      </c>
      <c r="B7" s="3" t="s">
        <v>1518</v>
      </c>
      <c r="C7" s="3" t="s">
        <v>1519</v>
      </c>
      <c r="D7" s="3" t="s">
        <v>1520</v>
      </c>
      <c r="E7" s="3" t="s">
        <v>756</v>
      </c>
      <c r="F7" s="3" t="s">
        <v>1521</v>
      </c>
      <c r="G7" s="3" t="s">
        <v>773</v>
      </c>
      <c r="H7" s="3" t="s">
        <v>809</v>
      </c>
      <c r="I7" s="3" t="s">
        <v>1522</v>
      </c>
      <c r="J7" s="3" t="s">
        <v>1523</v>
      </c>
      <c r="K7" s="3" t="s">
        <v>773</v>
      </c>
    </row>
    <row r="8" customFormat="false" ht="57" hidden="false" customHeight="true" outlineLevel="0" collapsed="false">
      <c r="A8" s="4" t="s">
        <v>84</v>
      </c>
      <c r="B8" s="3" t="s">
        <v>1511</v>
      </c>
      <c r="C8" s="23" t="s">
        <v>86</v>
      </c>
      <c r="D8" s="3" t="s">
        <v>85</v>
      </c>
      <c r="E8" s="3" t="s">
        <v>756</v>
      </c>
      <c r="F8" s="3" t="s">
        <v>1004</v>
      </c>
      <c r="G8" s="3" t="s">
        <v>773</v>
      </c>
      <c r="H8" s="3" t="s">
        <v>809</v>
      </c>
      <c r="I8" s="3" t="s">
        <v>1005</v>
      </c>
      <c r="J8" s="3" t="s">
        <v>1006</v>
      </c>
      <c r="K8" s="3" t="s">
        <v>773</v>
      </c>
    </row>
    <row r="9" customFormat="false" ht="34.5" hidden="false" customHeight="true" outlineLevel="0" collapsed="false">
      <c r="A9" s="4" t="s">
        <v>93</v>
      </c>
      <c r="B9" s="3" t="s">
        <v>1511</v>
      </c>
      <c r="C9" s="23" t="s">
        <v>95</v>
      </c>
      <c r="D9" s="3" t="s">
        <v>1046</v>
      </c>
      <c r="E9" s="3" t="s">
        <v>756</v>
      </c>
      <c r="F9" s="3" t="s">
        <v>1047</v>
      </c>
      <c r="G9" s="3" t="s">
        <v>773</v>
      </c>
      <c r="H9" s="3" t="s">
        <v>809</v>
      </c>
      <c r="I9" s="3" t="s">
        <v>1048</v>
      </c>
      <c r="J9" s="3" t="s">
        <v>1049</v>
      </c>
      <c r="K9" s="3" t="s">
        <v>773</v>
      </c>
    </row>
    <row r="10" customFormat="false" ht="147" hidden="false" customHeight="true" outlineLevel="0" collapsed="false">
      <c r="A10" s="4" t="s">
        <v>158</v>
      </c>
      <c r="B10" s="3" t="s">
        <v>1524</v>
      </c>
      <c r="C10" s="3"/>
      <c r="D10" s="3"/>
      <c r="E10" s="3" t="s">
        <v>756</v>
      </c>
      <c r="F10" s="3" t="s">
        <v>772</v>
      </c>
      <c r="G10" s="3" t="s">
        <v>773</v>
      </c>
      <c r="H10" s="3"/>
      <c r="I10" s="3" t="s">
        <v>1096</v>
      </c>
      <c r="J10" s="3"/>
      <c r="K10" s="3"/>
    </row>
    <row r="11" customFormat="false" ht="90.75" hidden="false" customHeight="true" outlineLevel="0" collapsed="false">
      <c r="A11" s="4" t="s">
        <v>104</v>
      </c>
      <c r="B11" s="3" t="s">
        <v>1525</v>
      </c>
      <c r="C11" s="3" t="s">
        <v>1526</v>
      </c>
      <c r="D11" s="3" t="s">
        <v>1527</v>
      </c>
      <c r="E11" s="3" t="s">
        <v>756</v>
      </c>
      <c r="F11" s="3" t="s">
        <v>1528</v>
      </c>
      <c r="G11" s="3" t="s">
        <v>773</v>
      </c>
      <c r="H11" s="3" t="s">
        <v>809</v>
      </c>
      <c r="I11" s="3" t="s">
        <v>1529</v>
      </c>
      <c r="J11" s="3" t="s">
        <v>1530</v>
      </c>
      <c r="K11" s="3" t="s">
        <v>773</v>
      </c>
    </row>
    <row r="12" customFormat="false" ht="57" hidden="false" customHeight="true" outlineLevel="0" collapsed="false">
      <c r="A12" s="4" t="s">
        <v>104</v>
      </c>
      <c r="B12" s="3" t="s">
        <v>1531</v>
      </c>
      <c r="C12" s="3" t="s">
        <v>1532</v>
      </c>
      <c r="D12" s="3" t="s">
        <v>1533</v>
      </c>
      <c r="E12" s="3" t="s">
        <v>756</v>
      </c>
      <c r="F12" s="3" t="s">
        <v>1534</v>
      </c>
      <c r="G12" s="3" t="s">
        <v>773</v>
      </c>
      <c r="H12" s="3" t="s">
        <v>809</v>
      </c>
      <c r="I12" s="3" t="s">
        <v>1535</v>
      </c>
      <c r="J12" s="3" t="s">
        <v>1536</v>
      </c>
      <c r="K12" s="3" t="s">
        <v>773</v>
      </c>
    </row>
    <row r="13" customFormat="false" ht="34.5" hidden="false" customHeight="true" outlineLevel="0" collapsed="false">
      <c r="A13" s="4" t="s">
        <v>104</v>
      </c>
      <c r="B13" s="3" t="s">
        <v>1537</v>
      </c>
      <c r="C13" s="3" t="s">
        <v>1538</v>
      </c>
      <c r="D13" s="3" t="s">
        <v>1539</v>
      </c>
      <c r="E13" s="3" t="s">
        <v>756</v>
      </c>
      <c r="F13" s="3" t="s">
        <v>1540</v>
      </c>
      <c r="G13" s="3" t="s">
        <v>773</v>
      </c>
      <c r="H13" s="3" t="s">
        <v>809</v>
      </c>
      <c r="I13" s="3" t="s">
        <v>1535</v>
      </c>
      <c r="J13" s="3" t="s">
        <v>1541</v>
      </c>
      <c r="K13" s="3" t="s">
        <v>773</v>
      </c>
    </row>
    <row r="14" customFormat="false" ht="34.5" hidden="false" customHeight="true" outlineLevel="0" collapsed="false">
      <c r="A14" s="4" t="s">
        <v>104</v>
      </c>
      <c r="B14" s="3" t="s">
        <v>1542</v>
      </c>
      <c r="C14" s="3" t="s">
        <v>1543</v>
      </c>
      <c r="D14" s="3" t="s">
        <v>1544</v>
      </c>
      <c r="E14" s="3" t="s">
        <v>756</v>
      </c>
      <c r="F14" s="3" t="s">
        <v>1540</v>
      </c>
      <c r="G14" s="3" t="s">
        <v>773</v>
      </c>
      <c r="H14" s="3" t="s">
        <v>809</v>
      </c>
      <c r="I14" s="3" t="s">
        <v>1535</v>
      </c>
      <c r="J14" s="3" t="s">
        <v>1541</v>
      </c>
      <c r="K14" s="3" t="s">
        <v>773</v>
      </c>
    </row>
    <row r="15" customFormat="false" ht="34.5" hidden="false" customHeight="true" outlineLevel="0" collapsed="false">
      <c r="A15" s="4" t="s">
        <v>104</v>
      </c>
      <c r="B15" s="3" t="s">
        <v>1545</v>
      </c>
      <c r="C15" s="3" t="s">
        <v>1546</v>
      </c>
      <c r="D15" s="3" t="s">
        <v>1547</v>
      </c>
      <c r="E15" s="3" t="s">
        <v>756</v>
      </c>
      <c r="F15" s="3" t="s">
        <v>1540</v>
      </c>
      <c r="G15" s="3" t="s">
        <v>773</v>
      </c>
      <c r="H15" s="3" t="s">
        <v>809</v>
      </c>
      <c r="I15" s="3" t="s">
        <v>1535</v>
      </c>
      <c r="J15" s="3" t="s">
        <v>1541</v>
      </c>
      <c r="K15" s="3" t="s">
        <v>773</v>
      </c>
    </row>
    <row r="16" customFormat="false" ht="79.5" hidden="false" customHeight="true" outlineLevel="0" collapsed="false">
      <c r="A16" s="4" t="s">
        <v>104</v>
      </c>
      <c r="B16" s="3" t="s">
        <v>1548</v>
      </c>
      <c r="C16" s="3" t="s">
        <v>1549</v>
      </c>
      <c r="D16" s="3" t="s">
        <v>1550</v>
      </c>
      <c r="E16" s="3" t="s">
        <v>756</v>
      </c>
      <c r="F16" s="3" t="s">
        <v>1540</v>
      </c>
      <c r="G16" s="3" t="s">
        <v>773</v>
      </c>
      <c r="H16" s="3" t="s">
        <v>809</v>
      </c>
      <c r="I16" s="3" t="s">
        <v>1551</v>
      </c>
      <c r="J16" s="3" t="s">
        <v>1552</v>
      </c>
      <c r="K16" s="3" t="s">
        <v>773</v>
      </c>
    </row>
    <row r="17" customFormat="false" ht="79.5" hidden="false" customHeight="true" outlineLevel="0" collapsed="false">
      <c r="A17" s="4" t="s">
        <v>113</v>
      </c>
      <c r="B17" s="3" t="s">
        <v>1511</v>
      </c>
      <c r="C17" s="3" t="s">
        <v>1173</v>
      </c>
      <c r="D17" s="3" t="s">
        <v>1174</v>
      </c>
      <c r="E17" s="3" t="s">
        <v>756</v>
      </c>
      <c r="F17" s="3" t="s">
        <v>1175</v>
      </c>
      <c r="G17" s="3" t="s">
        <v>773</v>
      </c>
      <c r="H17" s="3" t="s">
        <v>809</v>
      </c>
      <c r="I17" s="3" t="s">
        <v>1176</v>
      </c>
      <c r="J17" s="3" t="s">
        <v>1177</v>
      </c>
      <c r="K17" s="3" t="s">
        <v>773</v>
      </c>
    </row>
    <row r="18" customFormat="false" ht="68.25" hidden="false" customHeight="true" outlineLevel="0" collapsed="false">
      <c r="A18" s="4" t="s">
        <v>121</v>
      </c>
      <c r="B18" s="3" t="s">
        <v>1511</v>
      </c>
      <c r="C18" s="3" t="s">
        <v>1221</v>
      </c>
      <c r="D18" s="3" t="s">
        <v>1222</v>
      </c>
      <c r="E18" s="3" t="s">
        <v>756</v>
      </c>
      <c r="F18" s="3" t="s">
        <v>1223</v>
      </c>
      <c r="G18" s="3" t="s">
        <v>758</v>
      </c>
      <c r="H18" s="3" t="s">
        <v>1224</v>
      </c>
      <c r="I18" s="3" t="s">
        <v>1225</v>
      </c>
      <c r="J18" s="3" t="s">
        <v>1226</v>
      </c>
      <c r="K18" s="3" t="s">
        <v>1227</v>
      </c>
    </row>
    <row r="19" customFormat="false" ht="79.5" hidden="false" customHeight="true" outlineLevel="0" collapsed="false">
      <c r="A19" s="4" t="s">
        <v>132</v>
      </c>
      <c r="B19" s="3" t="s">
        <v>1511</v>
      </c>
      <c r="C19" s="3" t="s">
        <v>133</v>
      </c>
      <c r="D19" s="3" t="s">
        <v>1269</v>
      </c>
      <c r="E19" s="3" t="s">
        <v>756</v>
      </c>
      <c r="F19" s="3" t="s">
        <v>1270</v>
      </c>
      <c r="G19" s="3" t="s">
        <v>773</v>
      </c>
      <c r="H19" s="3" t="s">
        <v>809</v>
      </c>
      <c r="I19" s="3" t="s">
        <v>1271</v>
      </c>
      <c r="J19" s="3" t="s">
        <v>1272</v>
      </c>
      <c r="K19" s="3" t="s">
        <v>773</v>
      </c>
    </row>
    <row r="20" customFormat="false" ht="45.75" hidden="false" customHeight="true" outlineLevel="0" collapsed="false">
      <c r="A20" s="4" t="s">
        <v>139</v>
      </c>
      <c r="B20" s="3" t="s">
        <v>1511</v>
      </c>
      <c r="C20" s="3" t="s">
        <v>141</v>
      </c>
      <c r="D20" s="3" t="s">
        <v>140</v>
      </c>
      <c r="E20" s="3" t="s">
        <v>756</v>
      </c>
      <c r="F20" s="3" t="s">
        <v>1314</v>
      </c>
      <c r="G20" s="3" t="s">
        <v>773</v>
      </c>
      <c r="H20" s="3" t="s">
        <v>809</v>
      </c>
      <c r="I20" s="3" t="s">
        <v>1315</v>
      </c>
      <c r="J20" s="3" t="s">
        <v>1316</v>
      </c>
      <c r="K20" s="3" t="s">
        <v>773</v>
      </c>
    </row>
  </sheetData>
  <autoFilter ref="A1:K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22"/>
    <col collapsed="false" customWidth="true" hidden="false" outlineLevel="0" max="3" min="3" style="1" width="60"/>
    <col collapsed="false" customWidth="true" hidden="false" outlineLevel="0" max="4" min="4" style="1" width="32"/>
    <col collapsed="false" customWidth="true" hidden="false" outlineLevel="0" max="5" min="5" style="1" width="16"/>
    <col collapsed="false" customWidth="true" hidden="false" outlineLevel="0" max="6" min="6" style="1" width="60"/>
  </cols>
  <sheetData>
    <row r="1" customFormat="false" ht="15" hidden="false" customHeight="true" outlineLevel="0" collapsed="false">
      <c r="A1" s="22" t="s">
        <v>626</v>
      </c>
      <c r="B1" s="22" t="s">
        <v>1553</v>
      </c>
      <c r="C1" s="22" t="s">
        <v>1554</v>
      </c>
      <c r="D1" s="22" t="s">
        <v>1555</v>
      </c>
      <c r="E1" s="22" t="s">
        <v>1556</v>
      </c>
      <c r="F1" s="22" t="s">
        <v>1557</v>
      </c>
    </row>
    <row r="2" customFormat="false" ht="15" hidden="false" customHeight="true" outlineLevel="0" collapsed="false">
      <c r="A2" s="4" t="s">
        <v>749</v>
      </c>
      <c r="B2" s="3" t="s">
        <v>1558</v>
      </c>
      <c r="C2" s="23" t="s">
        <v>1559</v>
      </c>
      <c r="D2" s="3" t="s">
        <v>1560</v>
      </c>
      <c r="E2" s="3" t="s">
        <v>1561</v>
      </c>
      <c r="F2" s="3" t="s">
        <v>1562</v>
      </c>
    </row>
    <row r="3" customFormat="false" ht="23.25" hidden="false" customHeight="true" outlineLevel="0" collapsed="false">
      <c r="A3" s="4" t="s">
        <v>749</v>
      </c>
      <c r="B3" s="3" t="s">
        <v>1563</v>
      </c>
      <c r="C3" s="23" t="s">
        <v>1564</v>
      </c>
      <c r="D3" s="3" t="s">
        <v>781</v>
      </c>
      <c r="E3" s="3" t="s">
        <v>1565</v>
      </c>
      <c r="F3" s="3" t="s">
        <v>1566</v>
      </c>
    </row>
    <row r="4" customFormat="false" ht="34.5" hidden="false" customHeight="true" outlineLevel="0" collapsed="false">
      <c r="A4" s="4" t="s">
        <v>749</v>
      </c>
      <c r="B4" s="3" t="s">
        <v>1558</v>
      </c>
      <c r="C4" s="23" t="s">
        <v>1567</v>
      </c>
      <c r="D4" s="3" t="s">
        <v>1568</v>
      </c>
      <c r="E4" s="3" t="s">
        <v>1569</v>
      </c>
      <c r="F4" s="3" t="s">
        <v>1570</v>
      </c>
    </row>
    <row r="5" customFormat="false" ht="15" hidden="false" customHeight="true" outlineLevel="0" collapsed="false">
      <c r="A5" s="4" t="s">
        <v>749</v>
      </c>
      <c r="B5" s="3" t="s">
        <v>1558</v>
      </c>
      <c r="C5" s="23" t="s">
        <v>1571</v>
      </c>
      <c r="D5" s="3" t="s">
        <v>1572</v>
      </c>
      <c r="E5" s="3" t="s">
        <v>1573</v>
      </c>
      <c r="F5" s="3" t="s">
        <v>1574</v>
      </c>
    </row>
    <row r="6" customFormat="false" ht="23.25" hidden="false" customHeight="true" outlineLevel="0" collapsed="false">
      <c r="A6" s="4" t="s">
        <v>749</v>
      </c>
      <c r="B6" s="3" t="s">
        <v>1575</v>
      </c>
      <c r="C6" s="3" t="s">
        <v>1576</v>
      </c>
      <c r="D6" s="3" t="s">
        <v>809</v>
      </c>
      <c r="E6" s="3" t="s">
        <v>1577</v>
      </c>
      <c r="F6" s="3" t="s">
        <v>1578</v>
      </c>
    </row>
    <row r="7" customFormat="false" ht="15" hidden="false" customHeight="true" outlineLevel="0" collapsed="false">
      <c r="A7" s="4" t="s">
        <v>52</v>
      </c>
      <c r="B7" s="3" t="s">
        <v>1558</v>
      </c>
      <c r="C7" s="23" t="s">
        <v>1579</v>
      </c>
      <c r="D7" s="3" t="s">
        <v>1580</v>
      </c>
      <c r="E7" s="3" t="s">
        <v>1581</v>
      </c>
      <c r="F7" s="3" t="s">
        <v>62</v>
      </c>
    </row>
    <row r="8" customFormat="false" ht="15" hidden="false" customHeight="true" outlineLevel="0" collapsed="false">
      <c r="A8" s="4" t="s">
        <v>52</v>
      </c>
      <c r="B8" s="3" t="s">
        <v>1558</v>
      </c>
      <c r="C8" s="23" t="s">
        <v>1582</v>
      </c>
      <c r="D8" s="3" t="s">
        <v>1580</v>
      </c>
      <c r="E8" s="3" t="s">
        <v>1583</v>
      </c>
      <c r="F8" s="3" t="s">
        <v>1584</v>
      </c>
    </row>
    <row r="9" customFormat="false" ht="45.75" hidden="false" customHeight="true" outlineLevel="0" collapsed="false">
      <c r="A9" s="4" t="s">
        <v>52</v>
      </c>
      <c r="B9" s="3" t="s">
        <v>1563</v>
      </c>
      <c r="C9" s="23" t="s">
        <v>1585</v>
      </c>
      <c r="D9" s="3" t="s">
        <v>1580</v>
      </c>
      <c r="E9" s="3" t="s">
        <v>1586</v>
      </c>
      <c r="F9" s="3" t="s">
        <v>1587</v>
      </c>
    </row>
    <row r="10" customFormat="false" ht="45.75" hidden="false" customHeight="true" outlineLevel="0" collapsed="false">
      <c r="A10" s="4" t="s">
        <v>52</v>
      </c>
      <c r="B10" s="3" t="s">
        <v>1588</v>
      </c>
      <c r="C10" s="3" t="s">
        <v>1589</v>
      </c>
      <c r="D10" s="3" t="s">
        <v>1590</v>
      </c>
      <c r="E10" s="3" t="s">
        <v>1591</v>
      </c>
      <c r="F10" s="3" t="s">
        <v>1592</v>
      </c>
    </row>
    <row r="11" customFormat="false" ht="23.25" hidden="false" customHeight="true" outlineLevel="0" collapsed="false">
      <c r="A11" s="4" t="s">
        <v>52</v>
      </c>
      <c r="B11" s="3" t="s">
        <v>1588</v>
      </c>
      <c r="C11" s="3" t="s">
        <v>1593</v>
      </c>
      <c r="D11" s="3" t="s">
        <v>1590</v>
      </c>
      <c r="E11" s="3" t="s">
        <v>1594</v>
      </c>
      <c r="F11" s="3" t="s">
        <v>1595</v>
      </c>
    </row>
    <row r="12" customFormat="false" ht="23.25" hidden="false" customHeight="true" outlineLevel="0" collapsed="false">
      <c r="A12" s="4" t="s">
        <v>52</v>
      </c>
      <c r="B12" s="3" t="s">
        <v>1596</v>
      </c>
      <c r="C12" s="3" t="s">
        <v>1597</v>
      </c>
      <c r="D12" s="3" t="s">
        <v>1598</v>
      </c>
      <c r="E12" s="3" t="s">
        <v>1599</v>
      </c>
      <c r="F12" s="3" t="s">
        <v>1600</v>
      </c>
    </row>
    <row r="13" customFormat="false" ht="23.25" hidden="false" customHeight="true" outlineLevel="0" collapsed="false">
      <c r="A13" s="4" t="s">
        <v>52</v>
      </c>
      <c r="B13" s="3" t="s">
        <v>1596</v>
      </c>
      <c r="C13" s="3" t="s">
        <v>1601</v>
      </c>
      <c r="D13" s="3" t="s">
        <v>1602</v>
      </c>
      <c r="E13" s="3" t="s">
        <v>1603</v>
      </c>
      <c r="F13" s="3" t="s">
        <v>1604</v>
      </c>
    </row>
    <row r="14" customFormat="false" ht="36" hidden="false" customHeight="true" outlineLevel="0" collapsed="false">
      <c r="A14" s="4" t="s">
        <v>52</v>
      </c>
      <c r="B14" s="3" t="s">
        <v>1605</v>
      </c>
      <c r="C14" s="23" t="s">
        <v>1606</v>
      </c>
      <c r="D14" s="3" t="s">
        <v>1607</v>
      </c>
      <c r="E14" s="3" t="s">
        <v>1608</v>
      </c>
      <c r="F14" s="3" t="s">
        <v>1609</v>
      </c>
    </row>
    <row r="15" customFormat="false" ht="23.25" hidden="false" customHeight="true" outlineLevel="0" collapsed="false">
      <c r="A15" s="4" t="s">
        <v>52</v>
      </c>
      <c r="B15" s="3" t="s">
        <v>1596</v>
      </c>
      <c r="C15" s="3" t="s">
        <v>1610</v>
      </c>
      <c r="D15" s="3" t="s">
        <v>1611</v>
      </c>
      <c r="E15" s="3" t="s">
        <v>1581</v>
      </c>
      <c r="F15" s="3" t="s">
        <v>1612</v>
      </c>
    </row>
    <row r="16" customFormat="false" ht="15" hidden="false" customHeight="true" outlineLevel="0" collapsed="false">
      <c r="A16" s="4" t="s">
        <v>65</v>
      </c>
      <c r="B16" s="3" t="s">
        <v>1558</v>
      </c>
      <c r="C16" s="23" t="s">
        <v>1613</v>
      </c>
      <c r="D16" s="3" t="s">
        <v>1614</v>
      </c>
      <c r="E16" s="3" t="s">
        <v>1615</v>
      </c>
      <c r="F16" s="3" t="s">
        <v>71</v>
      </c>
    </row>
    <row r="17" customFormat="false" ht="24.75" hidden="false" customHeight="true" outlineLevel="0" collapsed="false">
      <c r="A17" s="4" t="s">
        <v>65</v>
      </c>
      <c r="B17" s="3" t="s">
        <v>1616</v>
      </c>
      <c r="C17" s="23" t="s">
        <v>1617</v>
      </c>
      <c r="D17" s="3" t="s">
        <v>1618</v>
      </c>
      <c r="E17" s="3" t="s">
        <v>1619</v>
      </c>
      <c r="F17" s="3" t="s">
        <v>1620</v>
      </c>
    </row>
    <row r="18" customFormat="false" ht="24.75" hidden="false" customHeight="true" outlineLevel="0" collapsed="false">
      <c r="A18" s="4" t="s">
        <v>65</v>
      </c>
      <c r="B18" s="3" t="s">
        <v>1621</v>
      </c>
      <c r="C18" s="23" t="s">
        <v>1622</v>
      </c>
      <c r="D18" s="3" t="s">
        <v>1623</v>
      </c>
      <c r="E18" s="3" t="s">
        <v>1624</v>
      </c>
      <c r="F18" s="3" t="s">
        <v>1625</v>
      </c>
    </row>
    <row r="19" customFormat="false" ht="24.75" hidden="false" customHeight="true" outlineLevel="0" collapsed="false">
      <c r="A19" s="4" t="s">
        <v>65</v>
      </c>
      <c r="B19" s="3" t="s">
        <v>1626</v>
      </c>
      <c r="C19" s="23" t="s">
        <v>1627</v>
      </c>
      <c r="D19" s="3" t="s">
        <v>1628</v>
      </c>
      <c r="E19" s="3" t="s">
        <v>1629</v>
      </c>
      <c r="F19" s="3" t="s">
        <v>1630</v>
      </c>
    </row>
    <row r="20" customFormat="false" ht="68.25" hidden="false" customHeight="true" outlineLevel="0" collapsed="false">
      <c r="A20" s="4" t="s">
        <v>65</v>
      </c>
      <c r="B20" s="3" t="s">
        <v>1588</v>
      </c>
      <c r="C20" s="3" t="s">
        <v>1631</v>
      </c>
      <c r="D20" s="3" t="s">
        <v>1590</v>
      </c>
      <c r="E20" s="3" t="s">
        <v>1632</v>
      </c>
      <c r="F20" s="3" t="s">
        <v>1633</v>
      </c>
    </row>
    <row r="21" customFormat="false" ht="15" hidden="false" customHeight="true" outlineLevel="0" collapsed="false">
      <c r="A21" s="4" t="s">
        <v>65</v>
      </c>
      <c r="B21" s="3" t="s">
        <v>1596</v>
      </c>
      <c r="C21" s="3" t="s">
        <v>1634</v>
      </c>
      <c r="D21" s="3" t="s">
        <v>1635</v>
      </c>
      <c r="E21" s="3" t="s">
        <v>1636</v>
      </c>
      <c r="F21" s="3" t="s">
        <v>1637</v>
      </c>
    </row>
    <row r="22" customFormat="false" ht="15" hidden="false" customHeight="true" outlineLevel="0" collapsed="false">
      <c r="A22" s="4" t="s">
        <v>65</v>
      </c>
      <c r="B22" s="3" t="s">
        <v>1596</v>
      </c>
      <c r="C22" s="3" t="s">
        <v>1638</v>
      </c>
      <c r="D22" s="3" t="s">
        <v>1639</v>
      </c>
      <c r="E22" s="3" t="s">
        <v>1640</v>
      </c>
      <c r="F22" s="3" t="s">
        <v>1641</v>
      </c>
    </row>
    <row r="23" customFormat="false" ht="23.25" hidden="false" customHeight="true" outlineLevel="0" collapsed="false">
      <c r="A23" s="4" t="s">
        <v>65</v>
      </c>
      <c r="B23" s="3" t="s">
        <v>1596</v>
      </c>
      <c r="C23" s="3" t="s">
        <v>1642</v>
      </c>
      <c r="D23" s="3" t="s">
        <v>1643</v>
      </c>
      <c r="E23" s="3" t="s">
        <v>1644</v>
      </c>
      <c r="F23" s="3" t="s">
        <v>1645</v>
      </c>
    </row>
    <row r="24" customFormat="false" ht="26.25" hidden="false" customHeight="true" outlineLevel="0" collapsed="false">
      <c r="A24" s="4" t="s">
        <v>74</v>
      </c>
      <c r="B24" s="3" t="s">
        <v>1558</v>
      </c>
      <c r="C24" s="23" t="s">
        <v>1646</v>
      </c>
      <c r="D24" s="3" t="s">
        <v>1647</v>
      </c>
      <c r="E24" s="3" t="s">
        <v>1648</v>
      </c>
      <c r="F24" s="3" t="s">
        <v>1649</v>
      </c>
    </row>
    <row r="25" customFormat="false" ht="24.75" hidden="false" customHeight="true" outlineLevel="0" collapsed="false">
      <c r="A25" s="4" t="s">
        <v>74</v>
      </c>
      <c r="B25" s="3" t="s">
        <v>1558</v>
      </c>
      <c r="C25" s="23" t="s">
        <v>1650</v>
      </c>
      <c r="D25" s="3" t="s">
        <v>1651</v>
      </c>
      <c r="E25" s="3" t="s">
        <v>1652</v>
      </c>
      <c r="F25" s="3" t="s">
        <v>1653</v>
      </c>
    </row>
    <row r="26" customFormat="false" ht="15" hidden="false" customHeight="true" outlineLevel="0" collapsed="false">
      <c r="A26" s="4" t="s">
        <v>74</v>
      </c>
      <c r="B26" s="3" t="s">
        <v>1563</v>
      </c>
      <c r="C26" s="23" t="s">
        <v>1654</v>
      </c>
      <c r="D26" s="3" t="s">
        <v>1647</v>
      </c>
      <c r="E26" s="3" t="s">
        <v>1655</v>
      </c>
      <c r="F26" s="3" t="s">
        <v>1656</v>
      </c>
    </row>
    <row r="27" customFormat="false" ht="15" hidden="false" customHeight="true" outlineLevel="0" collapsed="false">
      <c r="A27" s="4" t="s">
        <v>74</v>
      </c>
      <c r="B27" s="3" t="s">
        <v>1616</v>
      </c>
      <c r="C27" s="23" t="s">
        <v>1657</v>
      </c>
      <c r="D27" s="3" t="s">
        <v>1658</v>
      </c>
      <c r="E27" s="3" t="s">
        <v>1659</v>
      </c>
      <c r="F27" s="3" t="s">
        <v>81</v>
      </c>
    </row>
    <row r="28" customFormat="false" ht="15" hidden="false" customHeight="true" outlineLevel="0" collapsed="false">
      <c r="A28" s="4" t="s">
        <v>74</v>
      </c>
      <c r="B28" s="3" t="s">
        <v>1616</v>
      </c>
      <c r="C28" s="23" t="s">
        <v>1660</v>
      </c>
      <c r="D28" s="3" t="s">
        <v>1658</v>
      </c>
      <c r="E28" s="3" t="s">
        <v>1661</v>
      </c>
      <c r="F28" s="3" t="s">
        <v>1662</v>
      </c>
    </row>
    <row r="29" customFormat="false" ht="24.75" hidden="false" customHeight="true" outlineLevel="0" collapsed="false">
      <c r="A29" s="4" t="s">
        <v>74</v>
      </c>
      <c r="B29" s="3" t="s">
        <v>1616</v>
      </c>
      <c r="C29" s="23" t="s">
        <v>1663</v>
      </c>
      <c r="D29" s="3" t="s">
        <v>1658</v>
      </c>
      <c r="E29" s="3" t="s">
        <v>1664</v>
      </c>
      <c r="F29" s="3" t="s">
        <v>1665</v>
      </c>
    </row>
    <row r="30" customFormat="false" ht="23.25" hidden="false" customHeight="true" outlineLevel="0" collapsed="false">
      <c r="A30" s="4" t="s">
        <v>74</v>
      </c>
      <c r="B30" s="3" t="s">
        <v>1621</v>
      </c>
      <c r="C30" s="3" t="s">
        <v>1666</v>
      </c>
      <c r="D30" s="3" t="s">
        <v>1667</v>
      </c>
      <c r="E30" s="3" t="s">
        <v>1668</v>
      </c>
      <c r="F30" s="3" t="s">
        <v>1669</v>
      </c>
    </row>
    <row r="31" customFormat="false" ht="15" hidden="false" customHeight="true" outlineLevel="0" collapsed="false">
      <c r="A31" s="4" t="s">
        <v>74</v>
      </c>
      <c r="B31" s="3" t="s">
        <v>1621</v>
      </c>
      <c r="C31" s="3" t="s">
        <v>1670</v>
      </c>
      <c r="D31" s="3" t="s">
        <v>1667</v>
      </c>
      <c r="E31" s="3" t="s">
        <v>1671</v>
      </c>
      <c r="F31" s="3" t="s">
        <v>1672</v>
      </c>
    </row>
    <row r="32" customFormat="false" ht="23.25" hidden="false" customHeight="true" outlineLevel="0" collapsed="false">
      <c r="A32" s="4" t="s">
        <v>74</v>
      </c>
      <c r="B32" s="3" t="s">
        <v>1621</v>
      </c>
      <c r="C32" s="3" t="s">
        <v>1673</v>
      </c>
      <c r="D32" s="3" t="s">
        <v>1667</v>
      </c>
      <c r="E32" s="3" t="s">
        <v>1674</v>
      </c>
      <c r="F32" s="3" t="s">
        <v>1675</v>
      </c>
    </row>
    <row r="33" customFormat="false" ht="23.25" hidden="false" customHeight="true" outlineLevel="0" collapsed="false">
      <c r="A33" s="4" t="s">
        <v>74</v>
      </c>
      <c r="B33" s="3" t="s">
        <v>1596</v>
      </c>
      <c r="C33" s="3" t="s">
        <v>1676</v>
      </c>
      <c r="D33" s="3" t="s">
        <v>1677</v>
      </c>
      <c r="E33" s="3" t="s">
        <v>1678</v>
      </c>
      <c r="F33" s="3" t="s">
        <v>1679</v>
      </c>
    </row>
    <row r="34" customFormat="false" ht="15" hidden="false" customHeight="true" outlineLevel="0" collapsed="false">
      <c r="A34" s="4" t="s">
        <v>74</v>
      </c>
      <c r="B34" s="3" t="s">
        <v>1596</v>
      </c>
      <c r="C34" s="3" t="s">
        <v>1680</v>
      </c>
      <c r="D34" s="3" t="s">
        <v>1681</v>
      </c>
      <c r="E34" s="3" t="s">
        <v>1682</v>
      </c>
      <c r="F34" s="3" t="s">
        <v>1683</v>
      </c>
    </row>
    <row r="35" customFormat="false" ht="15" hidden="false" customHeight="true" outlineLevel="0" collapsed="false">
      <c r="A35" s="4" t="s">
        <v>74</v>
      </c>
      <c r="B35" s="3" t="s">
        <v>1596</v>
      </c>
      <c r="C35" s="3" t="s">
        <v>1684</v>
      </c>
      <c r="D35" s="3" t="s">
        <v>1685</v>
      </c>
      <c r="E35" s="3" t="s">
        <v>1686</v>
      </c>
      <c r="F35" s="3" t="s">
        <v>1687</v>
      </c>
    </row>
    <row r="36" customFormat="false" ht="23.25" hidden="false" customHeight="true" outlineLevel="0" collapsed="false">
      <c r="A36" s="4" t="s">
        <v>74</v>
      </c>
      <c r="B36" s="3" t="s">
        <v>1596</v>
      </c>
      <c r="C36" s="3" t="s">
        <v>1688</v>
      </c>
      <c r="D36" s="3" t="s">
        <v>1689</v>
      </c>
      <c r="E36" s="3" t="s">
        <v>1690</v>
      </c>
      <c r="F36" s="3" t="s">
        <v>1691</v>
      </c>
    </row>
    <row r="37" customFormat="false" ht="23.25" hidden="false" customHeight="true" outlineLevel="0" collapsed="false">
      <c r="A37" s="4" t="s">
        <v>74</v>
      </c>
      <c r="B37" s="3" t="s">
        <v>1596</v>
      </c>
      <c r="C37" s="3" t="s">
        <v>1692</v>
      </c>
      <c r="D37" s="3" t="s">
        <v>1693</v>
      </c>
      <c r="E37" s="3" t="s">
        <v>809</v>
      </c>
      <c r="F37" s="3" t="s">
        <v>1694</v>
      </c>
    </row>
    <row r="38" customFormat="false" ht="34.5" hidden="false" customHeight="true" outlineLevel="0" collapsed="false">
      <c r="A38" s="4" t="s">
        <v>147</v>
      </c>
      <c r="B38" s="3" t="s">
        <v>1558</v>
      </c>
      <c r="C38" s="3" t="s">
        <v>1695</v>
      </c>
      <c r="D38" s="3" t="s">
        <v>1696</v>
      </c>
      <c r="E38" s="3" t="s">
        <v>1697</v>
      </c>
      <c r="F38" s="3" t="s">
        <v>1698</v>
      </c>
    </row>
    <row r="39" customFormat="false" ht="23.25" hidden="false" customHeight="true" outlineLevel="0" collapsed="false">
      <c r="A39" s="4" t="s">
        <v>147</v>
      </c>
      <c r="B39" s="3" t="s">
        <v>1558</v>
      </c>
      <c r="C39" s="3" t="s">
        <v>1699</v>
      </c>
      <c r="D39" s="3" t="s">
        <v>1700</v>
      </c>
      <c r="E39" s="3" t="s">
        <v>1701</v>
      </c>
      <c r="F39" s="3" t="s">
        <v>1702</v>
      </c>
    </row>
    <row r="40" customFormat="false" ht="15" hidden="false" customHeight="true" outlineLevel="0" collapsed="false">
      <c r="A40" s="4" t="s">
        <v>147</v>
      </c>
      <c r="B40" s="3" t="s">
        <v>1558</v>
      </c>
      <c r="C40" s="3" t="s">
        <v>1703</v>
      </c>
      <c r="D40" s="3" t="s">
        <v>1704</v>
      </c>
      <c r="E40" s="3" t="s">
        <v>1705</v>
      </c>
      <c r="F40" s="3" t="s">
        <v>1706</v>
      </c>
    </row>
    <row r="41" customFormat="false" ht="23.25" hidden="false" customHeight="true" outlineLevel="0" collapsed="false">
      <c r="A41" s="4" t="s">
        <v>147</v>
      </c>
      <c r="B41" s="3" t="s">
        <v>1707</v>
      </c>
      <c r="C41" s="3" t="s">
        <v>1708</v>
      </c>
      <c r="D41" s="3" t="s">
        <v>1709</v>
      </c>
      <c r="E41" s="3" t="s">
        <v>1710</v>
      </c>
      <c r="F41" s="3" t="s">
        <v>1711</v>
      </c>
    </row>
    <row r="42" customFormat="false" ht="23.25" hidden="false" customHeight="true" outlineLevel="0" collapsed="false">
      <c r="A42" s="4" t="s">
        <v>147</v>
      </c>
      <c r="B42" s="3" t="s">
        <v>1707</v>
      </c>
      <c r="C42" s="3" t="s">
        <v>1712</v>
      </c>
      <c r="D42" s="3" t="s">
        <v>1709</v>
      </c>
      <c r="E42" s="3" t="s">
        <v>1713</v>
      </c>
      <c r="F42" s="3" t="s">
        <v>1714</v>
      </c>
    </row>
    <row r="43" customFormat="false" ht="23.25" hidden="false" customHeight="true" outlineLevel="0" collapsed="false">
      <c r="A43" s="4" t="s">
        <v>147</v>
      </c>
      <c r="B43" s="3" t="s">
        <v>1575</v>
      </c>
      <c r="C43" s="3" t="s">
        <v>1715</v>
      </c>
      <c r="D43" s="3" t="s">
        <v>1716</v>
      </c>
      <c r="E43" s="3" t="s">
        <v>1717</v>
      </c>
      <c r="F43" s="3" t="s">
        <v>1718</v>
      </c>
    </row>
    <row r="44" customFormat="false" ht="23.25" hidden="false" customHeight="true" outlineLevel="0" collapsed="false">
      <c r="A44" s="4" t="s">
        <v>147</v>
      </c>
      <c r="B44" s="3" t="s">
        <v>1596</v>
      </c>
      <c r="C44" s="3" t="s">
        <v>1719</v>
      </c>
      <c r="D44" s="3" t="s">
        <v>1720</v>
      </c>
      <c r="E44" s="3" t="s">
        <v>1721</v>
      </c>
      <c r="F44" s="3" t="s">
        <v>155</v>
      </c>
    </row>
    <row r="45" customFormat="false" ht="23.25" hidden="false" customHeight="true" outlineLevel="0" collapsed="false">
      <c r="A45" s="4" t="s">
        <v>147</v>
      </c>
      <c r="B45" s="3" t="s">
        <v>1596</v>
      </c>
      <c r="C45" s="3" t="s">
        <v>1722</v>
      </c>
      <c r="D45" s="3" t="s">
        <v>1723</v>
      </c>
      <c r="E45" s="3" t="s">
        <v>1724</v>
      </c>
      <c r="F45" s="3" t="s">
        <v>1725</v>
      </c>
    </row>
    <row r="46" customFormat="false" ht="23.25" hidden="false" customHeight="true" outlineLevel="0" collapsed="false">
      <c r="A46" s="4" t="s">
        <v>147</v>
      </c>
      <c r="B46" s="3" t="s">
        <v>1596</v>
      </c>
      <c r="C46" s="3" t="s">
        <v>1726</v>
      </c>
      <c r="D46" s="3" t="s">
        <v>1723</v>
      </c>
      <c r="E46" s="3" t="s">
        <v>1727</v>
      </c>
      <c r="F46" s="3" t="s">
        <v>1728</v>
      </c>
    </row>
    <row r="47" customFormat="false" ht="23.25" hidden="false" customHeight="true" outlineLevel="0" collapsed="false">
      <c r="A47" s="4" t="s">
        <v>147</v>
      </c>
      <c r="B47" s="3" t="s">
        <v>1729</v>
      </c>
      <c r="C47" s="3" t="s">
        <v>1730</v>
      </c>
      <c r="D47" s="3" t="s">
        <v>1704</v>
      </c>
      <c r="E47" s="3" t="s">
        <v>1731</v>
      </c>
      <c r="F47" s="3" t="s">
        <v>1732</v>
      </c>
    </row>
    <row r="48" customFormat="false" ht="15" hidden="false" customHeight="true" outlineLevel="0" collapsed="false">
      <c r="A48" s="4" t="s">
        <v>147</v>
      </c>
      <c r="B48" s="3" t="s">
        <v>1729</v>
      </c>
      <c r="C48" s="3" t="s">
        <v>1733</v>
      </c>
      <c r="D48" s="3" t="s">
        <v>809</v>
      </c>
      <c r="E48" s="3" t="s">
        <v>1734</v>
      </c>
      <c r="F48" s="3" t="s">
        <v>1735</v>
      </c>
    </row>
    <row r="49" customFormat="false" ht="15" hidden="false" customHeight="true" outlineLevel="0" collapsed="false">
      <c r="A49" s="4" t="s">
        <v>147</v>
      </c>
      <c r="B49" s="3" t="s">
        <v>1729</v>
      </c>
      <c r="C49" s="3" t="s">
        <v>1736</v>
      </c>
      <c r="D49" s="3" t="s">
        <v>809</v>
      </c>
      <c r="E49" s="3" t="s">
        <v>1737</v>
      </c>
      <c r="F49" s="3" t="s">
        <v>1738</v>
      </c>
    </row>
    <row r="50" customFormat="false" ht="34.5" hidden="false" customHeight="true" outlineLevel="0" collapsed="false">
      <c r="A50" s="4" t="s">
        <v>147</v>
      </c>
      <c r="B50" s="3" t="s">
        <v>1596</v>
      </c>
      <c r="C50" s="3" t="s">
        <v>1739</v>
      </c>
      <c r="D50" s="3" t="s">
        <v>1740</v>
      </c>
      <c r="E50" s="3" t="s">
        <v>1741</v>
      </c>
      <c r="F50" s="3" t="s">
        <v>1742</v>
      </c>
    </row>
    <row r="51" customFormat="false" ht="34.5" hidden="false" customHeight="true" outlineLevel="0" collapsed="false">
      <c r="A51" s="4" t="s">
        <v>84</v>
      </c>
      <c r="B51" s="3" t="s">
        <v>1558</v>
      </c>
      <c r="C51" s="23" t="s">
        <v>1743</v>
      </c>
      <c r="D51" s="3" t="s">
        <v>1019</v>
      </c>
      <c r="E51" s="3" t="s">
        <v>1744</v>
      </c>
      <c r="F51" s="3" t="s">
        <v>1745</v>
      </c>
    </row>
    <row r="52" customFormat="false" ht="24.75" hidden="false" customHeight="true" outlineLevel="0" collapsed="false">
      <c r="A52" s="4" t="s">
        <v>84</v>
      </c>
      <c r="B52" s="3" t="s">
        <v>1596</v>
      </c>
      <c r="C52" s="23" t="s">
        <v>1746</v>
      </c>
      <c r="D52" s="3" t="s">
        <v>1747</v>
      </c>
      <c r="E52" s="3" t="s">
        <v>1744</v>
      </c>
      <c r="F52" s="3" t="s">
        <v>1748</v>
      </c>
    </row>
    <row r="53" customFormat="false" ht="34.5" hidden="false" customHeight="true" outlineLevel="0" collapsed="false">
      <c r="A53" s="4" t="s">
        <v>84</v>
      </c>
      <c r="B53" s="3" t="s">
        <v>1563</v>
      </c>
      <c r="C53" s="23" t="s">
        <v>1749</v>
      </c>
      <c r="D53" s="3" t="s">
        <v>1019</v>
      </c>
      <c r="E53" s="3" t="s">
        <v>1750</v>
      </c>
      <c r="F53" s="3" t="s">
        <v>1751</v>
      </c>
    </row>
    <row r="54" customFormat="false" ht="24.75" hidden="false" customHeight="true" outlineLevel="0" collapsed="false">
      <c r="A54" s="4" t="s">
        <v>84</v>
      </c>
      <c r="B54" s="3" t="s">
        <v>1616</v>
      </c>
      <c r="C54" s="23" t="s">
        <v>1752</v>
      </c>
      <c r="D54" s="3" t="s">
        <v>1753</v>
      </c>
      <c r="E54" s="3" t="s">
        <v>1754</v>
      </c>
      <c r="F54" s="3" t="s">
        <v>1755</v>
      </c>
    </row>
    <row r="55" customFormat="false" ht="26.25" hidden="false" customHeight="true" outlineLevel="0" collapsed="false">
      <c r="A55" s="4" t="s">
        <v>84</v>
      </c>
      <c r="B55" s="3" t="s">
        <v>1616</v>
      </c>
      <c r="C55" s="23" t="s">
        <v>1756</v>
      </c>
      <c r="D55" s="3" t="s">
        <v>1757</v>
      </c>
      <c r="E55" s="3" t="s">
        <v>1758</v>
      </c>
      <c r="F55" s="3" t="s">
        <v>1759</v>
      </c>
    </row>
    <row r="56" customFormat="false" ht="34.5" hidden="false" customHeight="true" outlineLevel="0" collapsed="false">
      <c r="A56" s="4" t="s">
        <v>84</v>
      </c>
      <c r="B56" s="3" t="s">
        <v>1575</v>
      </c>
      <c r="C56" s="3" t="s">
        <v>1760</v>
      </c>
      <c r="D56" s="3" t="s">
        <v>1761</v>
      </c>
      <c r="E56" s="3" t="s">
        <v>1762</v>
      </c>
      <c r="F56" s="3" t="s">
        <v>1763</v>
      </c>
    </row>
    <row r="57" customFormat="false" ht="15" hidden="false" customHeight="true" outlineLevel="0" collapsed="false">
      <c r="A57" s="4" t="s">
        <v>84</v>
      </c>
      <c r="B57" s="3" t="s">
        <v>1596</v>
      </c>
      <c r="C57" s="3" t="s">
        <v>1764</v>
      </c>
      <c r="D57" s="3" t="s">
        <v>1765</v>
      </c>
      <c r="E57" s="3" t="s">
        <v>1744</v>
      </c>
      <c r="F57" s="3" t="s">
        <v>1766</v>
      </c>
    </row>
    <row r="58" customFormat="false" ht="15" hidden="false" customHeight="true" outlineLevel="0" collapsed="false">
      <c r="A58" s="4" t="s">
        <v>84</v>
      </c>
      <c r="B58" s="3" t="s">
        <v>1596</v>
      </c>
      <c r="C58" s="3" t="s">
        <v>1767</v>
      </c>
      <c r="D58" s="3" t="s">
        <v>1765</v>
      </c>
      <c r="E58" s="3" t="s">
        <v>1744</v>
      </c>
      <c r="F58" s="3" t="s">
        <v>1768</v>
      </c>
    </row>
    <row r="59" customFormat="false" ht="15" hidden="false" customHeight="true" outlineLevel="0" collapsed="false">
      <c r="A59" s="4" t="s">
        <v>84</v>
      </c>
      <c r="B59" s="3" t="s">
        <v>1596</v>
      </c>
      <c r="C59" s="3" t="s">
        <v>1769</v>
      </c>
      <c r="D59" s="3" t="s">
        <v>1765</v>
      </c>
      <c r="E59" s="3" t="s">
        <v>1770</v>
      </c>
      <c r="F59" s="3" t="s">
        <v>1771</v>
      </c>
    </row>
    <row r="60" customFormat="false" ht="15" hidden="false" customHeight="true" outlineLevel="0" collapsed="false">
      <c r="A60" s="4" t="s">
        <v>84</v>
      </c>
      <c r="B60" s="3" t="s">
        <v>1596</v>
      </c>
      <c r="C60" s="3" t="s">
        <v>1772</v>
      </c>
      <c r="D60" s="3" t="s">
        <v>1765</v>
      </c>
      <c r="E60" s="3" t="s">
        <v>1773</v>
      </c>
      <c r="F60" s="3" t="s">
        <v>1774</v>
      </c>
    </row>
    <row r="61" customFormat="false" ht="23.25" hidden="false" customHeight="true" outlineLevel="0" collapsed="false">
      <c r="A61" s="4" t="s">
        <v>84</v>
      </c>
      <c r="B61" s="3" t="s">
        <v>1596</v>
      </c>
      <c r="C61" s="3" t="s">
        <v>1775</v>
      </c>
      <c r="D61" s="3" t="s">
        <v>1776</v>
      </c>
      <c r="E61" s="3" t="s">
        <v>1777</v>
      </c>
      <c r="F61" s="3" t="s">
        <v>1778</v>
      </c>
    </row>
    <row r="62" customFormat="false" ht="15" hidden="false" customHeight="true" outlineLevel="0" collapsed="false">
      <c r="A62" s="4" t="s">
        <v>84</v>
      </c>
      <c r="B62" s="3" t="s">
        <v>1596</v>
      </c>
      <c r="C62" s="3" t="s">
        <v>1779</v>
      </c>
      <c r="D62" s="3" t="s">
        <v>1780</v>
      </c>
      <c r="E62" s="3" t="s">
        <v>1744</v>
      </c>
      <c r="F62" s="3" t="s">
        <v>1781</v>
      </c>
    </row>
    <row r="63" customFormat="false" ht="34.5" hidden="false" customHeight="true" outlineLevel="0" collapsed="false">
      <c r="A63" s="4" t="s">
        <v>93</v>
      </c>
      <c r="B63" s="3" t="s">
        <v>1558</v>
      </c>
      <c r="C63" s="23" t="s">
        <v>1782</v>
      </c>
      <c r="D63" s="3" t="s">
        <v>1783</v>
      </c>
      <c r="E63" s="3" t="s">
        <v>1784</v>
      </c>
      <c r="F63" s="3" t="s">
        <v>1785</v>
      </c>
    </row>
    <row r="64" customFormat="false" ht="15" hidden="false" customHeight="true" outlineLevel="0" collapsed="false">
      <c r="A64" s="4" t="s">
        <v>93</v>
      </c>
      <c r="B64" s="3" t="s">
        <v>1596</v>
      </c>
      <c r="C64" s="3" t="s">
        <v>1786</v>
      </c>
      <c r="D64" s="3" t="s">
        <v>1787</v>
      </c>
      <c r="E64" s="3" t="s">
        <v>1784</v>
      </c>
      <c r="F64" s="3" t="s">
        <v>1788</v>
      </c>
    </row>
    <row r="65" customFormat="false" ht="34.5" hidden="false" customHeight="true" outlineLevel="0" collapsed="false">
      <c r="A65" s="4" t="s">
        <v>93</v>
      </c>
      <c r="B65" s="3" t="s">
        <v>1558</v>
      </c>
      <c r="C65" s="23" t="s">
        <v>1789</v>
      </c>
      <c r="D65" s="3" t="s">
        <v>1790</v>
      </c>
      <c r="E65" s="3" t="s">
        <v>1791</v>
      </c>
      <c r="F65" s="3" t="s">
        <v>1792</v>
      </c>
    </row>
    <row r="66" customFormat="false" ht="23.25" hidden="false" customHeight="true" outlineLevel="0" collapsed="false">
      <c r="A66" s="4" t="s">
        <v>93</v>
      </c>
      <c r="B66" s="3" t="s">
        <v>1563</v>
      </c>
      <c r="C66" s="23" t="s">
        <v>1793</v>
      </c>
      <c r="D66" s="3" t="s">
        <v>1794</v>
      </c>
      <c r="E66" s="3" t="s">
        <v>1795</v>
      </c>
      <c r="F66" s="3" t="s">
        <v>1796</v>
      </c>
    </row>
    <row r="67" customFormat="false" ht="34.5" hidden="false" customHeight="true" outlineLevel="0" collapsed="false">
      <c r="A67" s="4" t="s">
        <v>93</v>
      </c>
      <c r="B67" s="3" t="s">
        <v>1616</v>
      </c>
      <c r="C67" s="3" t="s">
        <v>1797</v>
      </c>
      <c r="D67" s="3" t="s">
        <v>1798</v>
      </c>
      <c r="E67" s="3" t="s">
        <v>1799</v>
      </c>
      <c r="F67" s="3" t="s">
        <v>1800</v>
      </c>
    </row>
    <row r="68" customFormat="false" ht="34.5" hidden="false" customHeight="true" outlineLevel="0" collapsed="false">
      <c r="A68" s="4" t="s">
        <v>93</v>
      </c>
      <c r="B68" s="3" t="s">
        <v>1621</v>
      </c>
      <c r="C68" s="3" t="s">
        <v>1801</v>
      </c>
      <c r="D68" s="3" t="s">
        <v>1802</v>
      </c>
      <c r="E68" s="3" t="s">
        <v>1803</v>
      </c>
      <c r="F68" s="3" t="s">
        <v>1804</v>
      </c>
    </row>
    <row r="69" customFormat="false" ht="34.5" hidden="false" customHeight="true" outlineLevel="0" collapsed="false">
      <c r="A69" s="4" t="s">
        <v>93</v>
      </c>
      <c r="B69" s="3" t="s">
        <v>1616</v>
      </c>
      <c r="C69" s="3" t="s">
        <v>1805</v>
      </c>
      <c r="D69" s="3" t="s">
        <v>1806</v>
      </c>
      <c r="E69" s="3" t="s">
        <v>1807</v>
      </c>
      <c r="F69" s="3" t="s">
        <v>1808</v>
      </c>
    </row>
    <row r="70" customFormat="false" ht="15" hidden="false" customHeight="true" outlineLevel="0" collapsed="false">
      <c r="A70" s="4" t="s">
        <v>93</v>
      </c>
      <c r="B70" s="3" t="s">
        <v>1596</v>
      </c>
      <c r="C70" s="3" t="s">
        <v>1809</v>
      </c>
      <c r="D70" s="3" t="s">
        <v>1810</v>
      </c>
      <c r="E70" s="3" t="s">
        <v>1811</v>
      </c>
      <c r="F70" s="3" t="s">
        <v>1812</v>
      </c>
    </row>
    <row r="71" customFormat="false" ht="15" hidden="false" customHeight="true" outlineLevel="0" collapsed="false">
      <c r="A71" s="4" t="s">
        <v>93</v>
      </c>
      <c r="B71" s="3" t="s">
        <v>1596</v>
      </c>
      <c r="C71" s="3" t="s">
        <v>1813</v>
      </c>
      <c r="D71" s="3" t="s">
        <v>1787</v>
      </c>
      <c r="E71" s="3" t="s">
        <v>1814</v>
      </c>
      <c r="F71" s="3" t="s">
        <v>1815</v>
      </c>
    </row>
    <row r="72" customFormat="false" ht="15" hidden="false" customHeight="true" outlineLevel="0" collapsed="false">
      <c r="A72" s="4" t="s">
        <v>93</v>
      </c>
      <c r="B72" s="3" t="s">
        <v>1596</v>
      </c>
      <c r="C72" s="3" t="s">
        <v>1816</v>
      </c>
      <c r="D72" s="3" t="s">
        <v>1817</v>
      </c>
      <c r="E72" s="3" t="s">
        <v>1818</v>
      </c>
      <c r="F72" s="3" t="s">
        <v>1819</v>
      </c>
    </row>
    <row r="73" customFormat="false" ht="15" hidden="false" customHeight="true" outlineLevel="0" collapsed="false">
      <c r="A73" s="4" t="s">
        <v>93</v>
      </c>
      <c r="B73" s="3" t="s">
        <v>1596</v>
      </c>
      <c r="C73" s="3" t="s">
        <v>1820</v>
      </c>
      <c r="D73" s="3" t="s">
        <v>1821</v>
      </c>
      <c r="E73" s="3" t="s">
        <v>1822</v>
      </c>
      <c r="F73" s="3" t="s">
        <v>1823</v>
      </c>
    </row>
    <row r="74" customFormat="false" ht="15" hidden="false" customHeight="true" outlineLevel="0" collapsed="false">
      <c r="A74" s="4" t="s">
        <v>93</v>
      </c>
      <c r="B74" s="3" t="s">
        <v>1596</v>
      </c>
      <c r="C74" s="3" t="s">
        <v>1824</v>
      </c>
      <c r="D74" s="3" t="s">
        <v>1817</v>
      </c>
      <c r="E74" s="3" t="s">
        <v>1825</v>
      </c>
      <c r="F74" s="3" t="s">
        <v>1826</v>
      </c>
    </row>
    <row r="75" customFormat="false" ht="34.5" hidden="false" customHeight="true" outlineLevel="0" collapsed="false">
      <c r="A75" s="4" t="s">
        <v>158</v>
      </c>
      <c r="B75" s="3" t="s">
        <v>1558</v>
      </c>
      <c r="C75" s="3" t="s">
        <v>1827</v>
      </c>
      <c r="D75" s="3" t="s">
        <v>1828</v>
      </c>
      <c r="E75" s="3" t="s">
        <v>1829</v>
      </c>
      <c r="F75" s="3" t="s">
        <v>1830</v>
      </c>
    </row>
    <row r="76" customFormat="false" ht="15" hidden="false" customHeight="true" outlineLevel="0" collapsed="false">
      <c r="A76" s="4" t="s">
        <v>158</v>
      </c>
      <c r="B76" s="3" t="s">
        <v>1558</v>
      </c>
      <c r="C76" s="3" t="s">
        <v>1093</v>
      </c>
      <c r="D76" s="3" t="s">
        <v>1831</v>
      </c>
      <c r="E76" s="3" t="s">
        <v>1832</v>
      </c>
      <c r="F76" s="3" t="s">
        <v>1833</v>
      </c>
    </row>
    <row r="77" customFormat="false" ht="23.25" hidden="false" customHeight="true" outlineLevel="0" collapsed="false">
      <c r="A77" s="4" t="s">
        <v>158</v>
      </c>
      <c r="B77" s="3" t="s">
        <v>1834</v>
      </c>
      <c r="C77" s="3" t="s">
        <v>1835</v>
      </c>
      <c r="D77" s="3" t="s">
        <v>1836</v>
      </c>
      <c r="E77" s="3" t="s">
        <v>1837</v>
      </c>
      <c r="F77" s="3" t="s">
        <v>1838</v>
      </c>
    </row>
    <row r="78" customFormat="false" ht="34.5" hidden="false" customHeight="true" outlineLevel="0" collapsed="false">
      <c r="A78" s="4" t="s">
        <v>158</v>
      </c>
      <c r="B78" s="3" t="s">
        <v>1616</v>
      </c>
      <c r="C78" s="3" t="s">
        <v>1839</v>
      </c>
      <c r="D78" s="3" t="s">
        <v>1840</v>
      </c>
      <c r="E78" s="3" t="s">
        <v>1841</v>
      </c>
      <c r="F78" s="3" t="s">
        <v>1842</v>
      </c>
    </row>
    <row r="79" customFormat="false" ht="15" hidden="false" customHeight="true" outlineLevel="0" collapsed="false">
      <c r="A79" s="4" t="s">
        <v>158</v>
      </c>
      <c r="B79" s="3" t="s">
        <v>1616</v>
      </c>
      <c r="C79" s="3" t="s">
        <v>1843</v>
      </c>
      <c r="D79" s="3" t="s">
        <v>1844</v>
      </c>
      <c r="E79" s="3" t="s">
        <v>1845</v>
      </c>
      <c r="F79" s="3" t="s">
        <v>1846</v>
      </c>
    </row>
    <row r="80" customFormat="false" ht="23.25" hidden="false" customHeight="true" outlineLevel="0" collapsed="false">
      <c r="A80" s="4" t="s">
        <v>158</v>
      </c>
      <c r="B80" s="3" t="s">
        <v>1616</v>
      </c>
      <c r="C80" s="3" t="s">
        <v>1847</v>
      </c>
      <c r="D80" s="3" t="s">
        <v>1848</v>
      </c>
      <c r="E80" s="3" t="s">
        <v>1849</v>
      </c>
      <c r="F80" s="3" t="s">
        <v>1850</v>
      </c>
    </row>
    <row r="81" customFormat="false" ht="23.25" hidden="false" customHeight="true" outlineLevel="0" collapsed="false">
      <c r="A81" s="4" t="s">
        <v>158</v>
      </c>
      <c r="B81" s="3" t="s">
        <v>1616</v>
      </c>
      <c r="C81" s="3" t="s">
        <v>1851</v>
      </c>
      <c r="D81" s="3" t="s">
        <v>1848</v>
      </c>
      <c r="E81" s="3" t="s">
        <v>1852</v>
      </c>
      <c r="F81" s="3" t="s">
        <v>1853</v>
      </c>
    </row>
    <row r="82" customFormat="false" ht="23.25" hidden="false" customHeight="true" outlineLevel="0" collapsed="false">
      <c r="A82" s="4" t="s">
        <v>158</v>
      </c>
      <c r="B82" s="3" t="s">
        <v>1616</v>
      </c>
      <c r="C82" s="3" t="s">
        <v>1854</v>
      </c>
      <c r="D82" s="3" t="s">
        <v>1848</v>
      </c>
      <c r="E82" s="3" t="s">
        <v>1855</v>
      </c>
      <c r="F82" s="3" t="s">
        <v>1856</v>
      </c>
    </row>
    <row r="83" customFormat="false" ht="23.25" hidden="false" customHeight="true" outlineLevel="0" collapsed="false">
      <c r="A83" s="4" t="s">
        <v>158</v>
      </c>
      <c r="B83" s="3" t="s">
        <v>1729</v>
      </c>
      <c r="C83" s="3" t="s">
        <v>1857</v>
      </c>
      <c r="D83" s="3" t="s">
        <v>809</v>
      </c>
      <c r="E83" s="3" t="s">
        <v>809</v>
      </c>
      <c r="F83" s="3" t="s">
        <v>1858</v>
      </c>
    </row>
    <row r="84" customFormat="false" ht="23.25" hidden="false" customHeight="true" outlineLevel="0" collapsed="false">
      <c r="A84" s="4" t="s">
        <v>158</v>
      </c>
      <c r="B84" s="3" t="s">
        <v>1596</v>
      </c>
      <c r="C84" s="3" t="s">
        <v>1859</v>
      </c>
      <c r="D84" s="3" t="s">
        <v>1860</v>
      </c>
      <c r="E84" s="3" t="s">
        <v>1861</v>
      </c>
      <c r="F84" s="3" t="s">
        <v>1862</v>
      </c>
    </row>
    <row r="85" customFormat="false" ht="23.25" hidden="false" customHeight="true" outlineLevel="0" collapsed="false">
      <c r="A85" s="4" t="s">
        <v>158</v>
      </c>
      <c r="B85" s="3" t="s">
        <v>1596</v>
      </c>
      <c r="C85" s="3" t="s">
        <v>1863</v>
      </c>
      <c r="D85" s="3" t="s">
        <v>1860</v>
      </c>
      <c r="E85" s="3" t="s">
        <v>1864</v>
      </c>
      <c r="F85" s="3" t="s">
        <v>1865</v>
      </c>
    </row>
    <row r="86" customFormat="false" ht="45.75" hidden="false" customHeight="true" outlineLevel="0" collapsed="false">
      <c r="A86" s="4" t="s">
        <v>158</v>
      </c>
      <c r="B86" s="3" t="s">
        <v>1596</v>
      </c>
      <c r="C86" s="3" t="s">
        <v>1866</v>
      </c>
      <c r="D86" s="3" t="s">
        <v>1867</v>
      </c>
      <c r="E86" s="3" t="s">
        <v>1868</v>
      </c>
      <c r="F86" s="3" t="s">
        <v>1869</v>
      </c>
    </row>
    <row r="87" customFormat="false" ht="45.75" hidden="false" customHeight="true" outlineLevel="0" collapsed="false">
      <c r="A87" s="4" t="s">
        <v>104</v>
      </c>
      <c r="B87" s="3" t="s">
        <v>1558</v>
      </c>
      <c r="C87" s="3" t="s">
        <v>1870</v>
      </c>
      <c r="D87" s="3" t="s">
        <v>1871</v>
      </c>
      <c r="E87" s="3" t="s">
        <v>1872</v>
      </c>
      <c r="F87" s="3" t="s">
        <v>1873</v>
      </c>
    </row>
    <row r="88" customFormat="false" ht="45.75" hidden="false" customHeight="true" outlineLevel="0" collapsed="false">
      <c r="A88" s="4" t="s">
        <v>104</v>
      </c>
      <c r="B88" s="3" t="s">
        <v>1558</v>
      </c>
      <c r="C88" s="3" t="s">
        <v>1874</v>
      </c>
      <c r="D88" s="3" t="s">
        <v>1871</v>
      </c>
      <c r="E88" s="3" t="s">
        <v>1875</v>
      </c>
      <c r="F88" s="3" t="s">
        <v>1876</v>
      </c>
    </row>
    <row r="89" customFormat="false" ht="23.25" hidden="false" customHeight="true" outlineLevel="0" collapsed="false">
      <c r="A89" s="4" t="s">
        <v>104</v>
      </c>
      <c r="B89" s="3" t="s">
        <v>1558</v>
      </c>
      <c r="C89" s="3" t="s">
        <v>1877</v>
      </c>
      <c r="D89" s="3" t="s">
        <v>1878</v>
      </c>
      <c r="E89" s="3" t="s">
        <v>1879</v>
      </c>
      <c r="F89" s="3" t="s">
        <v>1880</v>
      </c>
    </row>
    <row r="90" customFormat="false" ht="23.25" hidden="false" customHeight="true" outlineLevel="0" collapsed="false">
      <c r="A90" s="4" t="s">
        <v>104</v>
      </c>
      <c r="B90" s="3" t="s">
        <v>1558</v>
      </c>
      <c r="C90" s="3" t="s">
        <v>1881</v>
      </c>
      <c r="D90" s="3" t="s">
        <v>1882</v>
      </c>
      <c r="E90" s="3" t="s">
        <v>1883</v>
      </c>
      <c r="F90" s="3" t="s">
        <v>1884</v>
      </c>
    </row>
    <row r="91" customFormat="false" ht="23.25" hidden="false" customHeight="true" outlineLevel="0" collapsed="false">
      <c r="A91" s="4" t="s">
        <v>104</v>
      </c>
      <c r="B91" s="3" t="s">
        <v>1558</v>
      </c>
      <c r="C91" s="3" t="s">
        <v>1885</v>
      </c>
      <c r="D91" s="3" t="s">
        <v>1886</v>
      </c>
      <c r="E91" s="3" t="s">
        <v>1887</v>
      </c>
      <c r="F91" s="3" t="s">
        <v>1888</v>
      </c>
    </row>
    <row r="92" customFormat="false" ht="23.25" hidden="false" customHeight="true" outlineLevel="0" collapsed="false">
      <c r="A92" s="4" t="s">
        <v>104</v>
      </c>
      <c r="B92" s="3" t="s">
        <v>1596</v>
      </c>
      <c r="C92" s="3" t="s">
        <v>1889</v>
      </c>
      <c r="D92" s="3" t="s">
        <v>1890</v>
      </c>
      <c r="E92" s="3" t="s">
        <v>1872</v>
      </c>
      <c r="F92" s="3" t="s">
        <v>1891</v>
      </c>
    </row>
    <row r="93" customFormat="false" ht="23.25" hidden="false" customHeight="true" outlineLevel="0" collapsed="false">
      <c r="A93" s="4" t="s">
        <v>104</v>
      </c>
      <c r="B93" s="3" t="s">
        <v>1596</v>
      </c>
      <c r="C93" s="3" t="s">
        <v>1892</v>
      </c>
      <c r="D93" s="3" t="s">
        <v>1890</v>
      </c>
      <c r="E93" s="3" t="s">
        <v>1872</v>
      </c>
      <c r="F93" s="3" t="s">
        <v>1893</v>
      </c>
    </row>
    <row r="94" customFormat="false" ht="34.5" hidden="false" customHeight="true" outlineLevel="0" collapsed="false">
      <c r="A94" s="4" t="s">
        <v>104</v>
      </c>
      <c r="B94" s="3" t="s">
        <v>1596</v>
      </c>
      <c r="C94" s="3" t="s">
        <v>1894</v>
      </c>
      <c r="D94" s="3" t="s">
        <v>1895</v>
      </c>
      <c r="E94" s="3" t="s">
        <v>1896</v>
      </c>
      <c r="F94" s="3" t="s">
        <v>1897</v>
      </c>
    </row>
    <row r="95" customFormat="false" ht="23.25" hidden="false" customHeight="true" outlineLevel="0" collapsed="false">
      <c r="A95" s="4" t="s">
        <v>104</v>
      </c>
      <c r="B95" s="3" t="s">
        <v>1596</v>
      </c>
      <c r="C95" s="3" t="s">
        <v>1898</v>
      </c>
      <c r="D95" s="3" t="s">
        <v>1899</v>
      </c>
      <c r="E95" s="3" t="s">
        <v>1896</v>
      </c>
      <c r="F95" s="3" t="s">
        <v>1900</v>
      </c>
    </row>
    <row r="96" customFormat="false" ht="23.25" hidden="false" customHeight="true" outlineLevel="0" collapsed="false">
      <c r="A96" s="4" t="s">
        <v>104</v>
      </c>
      <c r="B96" s="3" t="s">
        <v>1596</v>
      </c>
      <c r="C96" s="3" t="s">
        <v>1901</v>
      </c>
      <c r="D96" s="3" t="s">
        <v>1902</v>
      </c>
      <c r="E96" s="3" t="s">
        <v>1896</v>
      </c>
      <c r="F96" s="3" t="s">
        <v>1903</v>
      </c>
    </row>
    <row r="97" customFormat="false" ht="45.75" hidden="false" customHeight="true" outlineLevel="0" collapsed="false">
      <c r="A97" s="4" t="s">
        <v>113</v>
      </c>
      <c r="B97" s="3" t="s">
        <v>1558</v>
      </c>
      <c r="C97" s="3" t="s">
        <v>1904</v>
      </c>
      <c r="D97" s="3" t="s">
        <v>1905</v>
      </c>
      <c r="E97" s="3" t="s">
        <v>1906</v>
      </c>
      <c r="F97" s="3" t="s">
        <v>119</v>
      </c>
    </row>
    <row r="98" customFormat="false" ht="23.25" hidden="false" customHeight="true" outlineLevel="0" collapsed="false">
      <c r="A98" s="4" t="s">
        <v>113</v>
      </c>
      <c r="B98" s="3" t="s">
        <v>1558</v>
      </c>
      <c r="C98" s="3" t="s">
        <v>1907</v>
      </c>
      <c r="D98" s="3" t="s">
        <v>1905</v>
      </c>
      <c r="E98" s="3" t="s">
        <v>1908</v>
      </c>
      <c r="F98" s="3" t="s">
        <v>1909</v>
      </c>
    </row>
    <row r="99" customFormat="false" ht="23.25" hidden="false" customHeight="true" outlineLevel="0" collapsed="false">
      <c r="A99" s="4" t="s">
        <v>113</v>
      </c>
      <c r="B99" s="3" t="s">
        <v>1558</v>
      </c>
      <c r="C99" s="3" t="s">
        <v>1910</v>
      </c>
      <c r="D99" s="3" t="s">
        <v>1911</v>
      </c>
      <c r="E99" s="3" t="s">
        <v>1912</v>
      </c>
      <c r="F99" s="3" t="s">
        <v>1913</v>
      </c>
    </row>
    <row r="100" customFormat="false" ht="23.25" hidden="false" customHeight="true" outlineLevel="0" collapsed="false">
      <c r="A100" s="4" t="s">
        <v>113</v>
      </c>
      <c r="B100" s="3" t="s">
        <v>1558</v>
      </c>
      <c r="C100" s="3" t="s">
        <v>1914</v>
      </c>
      <c r="D100" s="3" t="s">
        <v>1915</v>
      </c>
      <c r="E100" s="3" t="s">
        <v>1916</v>
      </c>
      <c r="F100" s="3" t="s">
        <v>1917</v>
      </c>
    </row>
    <row r="101" customFormat="false" ht="23.25" hidden="false" customHeight="true" outlineLevel="0" collapsed="false">
      <c r="A101" s="4" t="s">
        <v>113</v>
      </c>
      <c r="B101" s="3" t="s">
        <v>1558</v>
      </c>
      <c r="C101" s="3" t="s">
        <v>1918</v>
      </c>
      <c r="D101" s="3" t="s">
        <v>1919</v>
      </c>
      <c r="E101" s="3" t="s">
        <v>1920</v>
      </c>
      <c r="F101" s="3" t="s">
        <v>1921</v>
      </c>
    </row>
    <row r="102" customFormat="false" ht="15" hidden="false" customHeight="true" outlineLevel="0" collapsed="false">
      <c r="A102" s="4" t="s">
        <v>113</v>
      </c>
      <c r="B102" s="3" t="s">
        <v>1558</v>
      </c>
      <c r="C102" s="3" t="s">
        <v>1922</v>
      </c>
      <c r="D102" s="3" t="s">
        <v>1905</v>
      </c>
      <c r="E102" s="3" t="s">
        <v>1923</v>
      </c>
      <c r="F102" s="3" t="s">
        <v>1917</v>
      </c>
    </row>
    <row r="103" customFormat="false" ht="15" hidden="false" customHeight="true" outlineLevel="0" collapsed="false">
      <c r="A103" s="4" t="s">
        <v>113</v>
      </c>
      <c r="B103" s="3" t="s">
        <v>1596</v>
      </c>
      <c r="C103" s="3" t="s">
        <v>1924</v>
      </c>
      <c r="D103" s="3" t="s">
        <v>1925</v>
      </c>
      <c r="E103" s="3" t="s">
        <v>1923</v>
      </c>
      <c r="F103" s="3" t="s">
        <v>1926</v>
      </c>
    </row>
    <row r="104" customFormat="false" ht="15" hidden="false" customHeight="true" outlineLevel="0" collapsed="false">
      <c r="A104" s="4" t="s">
        <v>113</v>
      </c>
      <c r="B104" s="3" t="s">
        <v>1596</v>
      </c>
      <c r="C104" s="3" t="s">
        <v>1927</v>
      </c>
      <c r="D104" s="3" t="s">
        <v>1925</v>
      </c>
      <c r="E104" s="3" t="s">
        <v>1916</v>
      </c>
      <c r="F104" s="3" t="s">
        <v>1928</v>
      </c>
    </row>
    <row r="105" customFormat="false" ht="34.5" hidden="false" customHeight="true" outlineLevel="0" collapsed="false">
      <c r="A105" s="4" t="s">
        <v>113</v>
      </c>
      <c r="B105" s="3" t="s">
        <v>1596</v>
      </c>
      <c r="C105" s="3" t="s">
        <v>1929</v>
      </c>
      <c r="D105" s="3" t="s">
        <v>1930</v>
      </c>
      <c r="E105" s="3" t="s">
        <v>1931</v>
      </c>
      <c r="F105" s="3" t="s">
        <v>1932</v>
      </c>
    </row>
    <row r="106" customFormat="false" ht="23.25" hidden="false" customHeight="true" outlineLevel="0" collapsed="false">
      <c r="A106" s="4" t="s">
        <v>113</v>
      </c>
      <c r="B106" s="3" t="s">
        <v>1596</v>
      </c>
      <c r="C106" s="3" t="s">
        <v>1933</v>
      </c>
      <c r="D106" s="3" t="s">
        <v>1934</v>
      </c>
      <c r="E106" s="3" t="s">
        <v>1912</v>
      </c>
      <c r="F106" s="3" t="s">
        <v>1935</v>
      </c>
    </row>
    <row r="107" customFormat="false" ht="23.25" hidden="false" customHeight="true" outlineLevel="0" collapsed="false">
      <c r="A107" s="4" t="s">
        <v>113</v>
      </c>
      <c r="B107" s="3" t="s">
        <v>1596</v>
      </c>
      <c r="C107" s="3" t="s">
        <v>1936</v>
      </c>
      <c r="D107" s="3" t="s">
        <v>1937</v>
      </c>
      <c r="E107" s="3" t="s">
        <v>1938</v>
      </c>
      <c r="F107" s="3" t="s">
        <v>1939</v>
      </c>
    </row>
    <row r="108" customFormat="false" ht="23.25" hidden="false" customHeight="true" outlineLevel="0" collapsed="false">
      <c r="A108" s="4" t="s">
        <v>113</v>
      </c>
      <c r="B108" s="3" t="s">
        <v>1596</v>
      </c>
      <c r="C108" s="3" t="s">
        <v>1940</v>
      </c>
      <c r="D108" s="3" t="s">
        <v>1941</v>
      </c>
      <c r="E108" s="3" t="s">
        <v>1942</v>
      </c>
      <c r="F108" s="3" t="s">
        <v>1943</v>
      </c>
    </row>
    <row r="109" customFormat="false" ht="23.25" hidden="false" customHeight="true" outlineLevel="0" collapsed="false">
      <c r="A109" s="4" t="s">
        <v>113</v>
      </c>
      <c r="B109" s="3" t="s">
        <v>1596</v>
      </c>
      <c r="C109" s="3" t="s">
        <v>1944</v>
      </c>
      <c r="D109" s="3" t="s">
        <v>1925</v>
      </c>
      <c r="E109" s="3" t="s">
        <v>1945</v>
      </c>
      <c r="F109" s="3" t="s">
        <v>1946</v>
      </c>
    </row>
    <row r="110" customFormat="false" ht="15" hidden="false" customHeight="true" outlineLevel="0" collapsed="false">
      <c r="A110" s="4" t="s">
        <v>113</v>
      </c>
      <c r="B110" s="3" t="s">
        <v>1596</v>
      </c>
      <c r="C110" s="3" t="s">
        <v>1947</v>
      </c>
      <c r="D110" s="3" t="s">
        <v>1948</v>
      </c>
      <c r="E110" s="3" t="s">
        <v>1908</v>
      </c>
      <c r="F110" s="3" t="s">
        <v>1949</v>
      </c>
    </row>
    <row r="111" customFormat="false" ht="15" hidden="false" customHeight="true" outlineLevel="0" collapsed="false">
      <c r="A111" s="4" t="s">
        <v>113</v>
      </c>
      <c r="B111" s="3" t="s">
        <v>1596</v>
      </c>
      <c r="C111" s="3" t="s">
        <v>1950</v>
      </c>
      <c r="D111" s="3" t="s">
        <v>1951</v>
      </c>
      <c r="E111" s="3" t="s">
        <v>1908</v>
      </c>
      <c r="F111" s="3" t="s">
        <v>1952</v>
      </c>
    </row>
    <row r="112" customFormat="false" ht="23.25" hidden="false" customHeight="true" outlineLevel="0" collapsed="false">
      <c r="A112" s="4" t="s">
        <v>113</v>
      </c>
      <c r="B112" s="3" t="s">
        <v>1596</v>
      </c>
      <c r="C112" s="3" t="s">
        <v>1953</v>
      </c>
      <c r="D112" s="3" t="s">
        <v>1954</v>
      </c>
      <c r="E112" s="3" t="s">
        <v>1955</v>
      </c>
      <c r="F112" s="3" t="s">
        <v>1956</v>
      </c>
    </row>
    <row r="113" customFormat="false" ht="23.25" hidden="false" customHeight="true" outlineLevel="0" collapsed="false">
      <c r="A113" s="4" t="s">
        <v>113</v>
      </c>
      <c r="B113" s="3" t="s">
        <v>1596</v>
      </c>
      <c r="C113" s="3" t="s">
        <v>1957</v>
      </c>
      <c r="D113" s="3" t="s">
        <v>1930</v>
      </c>
      <c r="E113" s="3" t="s">
        <v>1958</v>
      </c>
      <c r="F113" s="3" t="s">
        <v>1959</v>
      </c>
    </row>
    <row r="114" customFormat="false" ht="23.25" hidden="false" customHeight="true" outlineLevel="0" collapsed="false">
      <c r="A114" s="4" t="s">
        <v>113</v>
      </c>
      <c r="B114" s="3" t="s">
        <v>1596</v>
      </c>
      <c r="C114" s="3" t="s">
        <v>1960</v>
      </c>
      <c r="D114" s="3" t="s">
        <v>1934</v>
      </c>
      <c r="E114" s="3" t="s">
        <v>1961</v>
      </c>
      <c r="F114" s="3" t="s">
        <v>1962</v>
      </c>
    </row>
    <row r="115" customFormat="false" ht="23.25" hidden="false" customHeight="true" outlineLevel="0" collapsed="false">
      <c r="A115" s="4" t="s">
        <v>113</v>
      </c>
      <c r="B115" s="3" t="s">
        <v>1596</v>
      </c>
      <c r="C115" s="3" t="s">
        <v>1963</v>
      </c>
      <c r="D115" s="3" t="s">
        <v>1964</v>
      </c>
      <c r="E115" s="3" t="s">
        <v>1961</v>
      </c>
      <c r="F115" s="3" t="s">
        <v>1965</v>
      </c>
    </row>
    <row r="116" customFormat="false" ht="23.25" hidden="false" customHeight="true" outlineLevel="0" collapsed="false">
      <c r="A116" s="4" t="s">
        <v>113</v>
      </c>
      <c r="B116" s="3" t="s">
        <v>1596</v>
      </c>
      <c r="C116" s="3" t="s">
        <v>1966</v>
      </c>
      <c r="D116" s="3" t="s">
        <v>1925</v>
      </c>
      <c r="E116" s="3" t="s">
        <v>1961</v>
      </c>
      <c r="F116" s="3" t="s">
        <v>1967</v>
      </c>
    </row>
    <row r="117" customFormat="false" ht="15" hidden="false" customHeight="true" outlineLevel="0" collapsed="false">
      <c r="A117" s="4" t="s">
        <v>113</v>
      </c>
      <c r="B117" s="3" t="s">
        <v>1596</v>
      </c>
      <c r="C117" s="3" t="s">
        <v>1968</v>
      </c>
      <c r="D117" s="3" t="s">
        <v>1969</v>
      </c>
      <c r="E117" s="3" t="s">
        <v>1970</v>
      </c>
      <c r="F117" s="3" t="s">
        <v>1971</v>
      </c>
    </row>
    <row r="118" customFormat="false" ht="15" hidden="false" customHeight="true" outlineLevel="0" collapsed="false">
      <c r="A118" s="4" t="s">
        <v>113</v>
      </c>
      <c r="B118" s="3" t="s">
        <v>1596</v>
      </c>
      <c r="C118" s="3" t="s">
        <v>1972</v>
      </c>
      <c r="D118" s="3" t="s">
        <v>1973</v>
      </c>
      <c r="E118" s="3" t="s">
        <v>1974</v>
      </c>
      <c r="F118" s="3" t="s">
        <v>1975</v>
      </c>
    </row>
    <row r="119" customFormat="false" ht="57" hidden="false" customHeight="true" outlineLevel="0" collapsed="false">
      <c r="A119" s="4" t="s">
        <v>121</v>
      </c>
      <c r="B119" s="3" t="s">
        <v>1558</v>
      </c>
      <c r="C119" s="3" t="s">
        <v>1976</v>
      </c>
      <c r="D119" s="3" t="s">
        <v>1977</v>
      </c>
      <c r="E119" s="3" t="s">
        <v>1978</v>
      </c>
      <c r="F119" s="3" t="s">
        <v>1979</v>
      </c>
    </row>
    <row r="120" customFormat="false" ht="34.5" hidden="false" customHeight="true" outlineLevel="0" collapsed="false">
      <c r="A120" s="4" t="s">
        <v>121</v>
      </c>
      <c r="B120" s="3" t="s">
        <v>1558</v>
      </c>
      <c r="C120" s="3" t="s">
        <v>1980</v>
      </c>
      <c r="D120" s="3" t="s">
        <v>1981</v>
      </c>
      <c r="E120" s="3" t="s">
        <v>1982</v>
      </c>
      <c r="F120" s="3" t="s">
        <v>1983</v>
      </c>
    </row>
    <row r="121" customFormat="false" ht="34.5" hidden="false" customHeight="true" outlineLevel="0" collapsed="false">
      <c r="A121" s="4" t="s">
        <v>121</v>
      </c>
      <c r="B121" s="3" t="s">
        <v>1558</v>
      </c>
      <c r="C121" s="3" t="s">
        <v>1984</v>
      </c>
      <c r="D121" s="3" t="s">
        <v>1981</v>
      </c>
      <c r="E121" s="3" t="s">
        <v>1985</v>
      </c>
      <c r="F121" s="3" t="s">
        <v>1986</v>
      </c>
    </row>
    <row r="122" customFormat="false" ht="23.25" hidden="false" customHeight="true" outlineLevel="0" collapsed="false">
      <c r="A122" s="4" t="s">
        <v>121</v>
      </c>
      <c r="B122" s="3" t="s">
        <v>1558</v>
      </c>
      <c r="C122" s="3" t="s">
        <v>1987</v>
      </c>
      <c r="D122" s="3" t="s">
        <v>1988</v>
      </c>
      <c r="E122" s="3" t="s">
        <v>1989</v>
      </c>
      <c r="F122" s="3" t="s">
        <v>1990</v>
      </c>
    </row>
    <row r="123" customFormat="false" ht="15" hidden="false" customHeight="true" outlineLevel="0" collapsed="false">
      <c r="A123" s="4" t="s">
        <v>121</v>
      </c>
      <c r="B123" s="3" t="s">
        <v>1558</v>
      </c>
      <c r="C123" s="3" t="s">
        <v>1991</v>
      </c>
      <c r="D123" s="3" t="s">
        <v>1981</v>
      </c>
      <c r="E123" s="3" t="s">
        <v>1992</v>
      </c>
      <c r="F123" s="3" t="s">
        <v>1993</v>
      </c>
    </row>
    <row r="124" customFormat="false" ht="23.25" hidden="false" customHeight="true" outlineLevel="0" collapsed="false">
      <c r="A124" s="4" t="s">
        <v>121</v>
      </c>
      <c r="B124" s="3" t="s">
        <v>1558</v>
      </c>
      <c r="C124" s="3" t="s">
        <v>1994</v>
      </c>
      <c r="D124" s="3" t="s">
        <v>1995</v>
      </c>
      <c r="E124" s="3" t="s">
        <v>1996</v>
      </c>
      <c r="F124" s="3" t="s">
        <v>1997</v>
      </c>
    </row>
    <row r="125" customFormat="false" ht="23.25" hidden="false" customHeight="true" outlineLevel="0" collapsed="false">
      <c r="A125" s="4" t="s">
        <v>121</v>
      </c>
      <c r="B125" s="3" t="s">
        <v>1596</v>
      </c>
      <c r="C125" s="3" t="s">
        <v>1998</v>
      </c>
      <c r="D125" s="3" t="s">
        <v>1999</v>
      </c>
      <c r="E125" s="3" t="s">
        <v>2000</v>
      </c>
      <c r="F125" s="3" t="s">
        <v>129</v>
      </c>
    </row>
    <row r="126" customFormat="false" ht="23.25" hidden="false" customHeight="true" outlineLevel="0" collapsed="false">
      <c r="A126" s="4" t="s">
        <v>121</v>
      </c>
      <c r="B126" s="3" t="s">
        <v>1596</v>
      </c>
      <c r="C126" s="3" t="s">
        <v>2001</v>
      </c>
      <c r="D126" s="3" t="s">
        <v>2002</v>
      </c>
      <c r="E126" s="3" t="s">
        <v>2000</v>
      </c>
      <c r="F126" s="3" t="s">
        <v>2003</v>
      </c>
    </row>
    <row r="127" customFormat="false" ht="23.25" hidden="false" customHeight="true" outlineLevel="0" collapsed="false">
      <c r="A127" s="4" t="s">
        <v>121</v>
      </c>
      <c r="B127" s="3" t="s">
        <v>1596</v>
      </c>
      <c r="C127" s="3" t="s">
        <v>2004</v>
      </c>
      <c r="D127" s="3" t="s">
        <v>2005</v>
      </c>
      <c r="E127" s="3" t="s">
        <v>2000</v>
      </c>
      <c r="F127" s="3" t="s">
        <v>2006</v>
      </c>
    </row>
    <row r="128" customFormat="false" ht="23.25" hidden="false" customHeight="true" outlineLevel="0" collapsed="false">
      <c r="A128" s="4" t="s">
        <v>121</v>
      </c>
      <c r="B128" s="3" t="s">
        <v>1596</v>
      </c>
      <c r="C128" s="3" t="s">
        <v>2007</v>
      </c>
      <c r="D128" s="3" t="s">
        <v>2005</v>
      </c>
      <c r="E128" s="3" t="s">
        <v>2008</v>
      </c>
      <c r="F128" s="3" t="s">
        <v>2009</v>
      </c>
    </row>
    <row r="129" customFormat="false" ht="34.5" hidden="false" customHeight="true" outlineLevel="0" collapsed="false">
      <c r="A129" s="4" t="s">
        <v>121</v>
      </c>
      <c r="B129" s="3" t="s">
        <v>1596</v>
      </c>
      <c r="C129" s="3" t="s">
        <v>2010</v>
      </c>
      <c r="D129" s="3" t="s">
        <v>2011</v>
      </c>
      <c r="E129" s="3" t="s">
        <v>2008</v>
      </c>
      <c r="F129" s="3" t="s">
        <v>2012</v>
      </c>
    </row>
    <row r="130" customFormat="false" ht="23.25" hidden="false" customHeight="true" outlineLevel="0" collapsed="false">
      <c r="A130" s="4" t="s">
        <v>121</v>
      </c>
      <c r="B130" s="3" t="s">
        <v>1596</v>
      </c>
      <c r="C130" s="3" t="s">
        <v>2013</v>
      </c>
      <c r="D130" s="3" t="s">
        <v>2014</v>
      </c>
      <c r="E130" s="3" t="s">
        <v>2008</v>
      </c>
      <c r="F130" s="3" t="s">
        <v>2015</v>
      </c>
    </row>
    <row r="131" customFormat="false" ht="23.25" hidden="false" customHeight="true" outlineLevel="0" collapsed="false">
      <c r="A131" s="4" t="s">
        <v>121</v>
      </c>
      <c r="B131" s="3" t="s">
        <v>1596</v>
      </c>
      <c r="C131" s="3" t="s">
        <v>2016</v>
      </c>
      <c r="D131" s="3" t="s">
        <v>1999</v>
      </c>
      <c r="E131" s="3" t="s">
        <v>2017</v>
      </c>
      <c r="F131" s="3" t="s">
        <v>2018</v>
      </c>
    </row>
    <row r="132" customFormat="false" ht="23.25" hidden="false" customHeight="true" outlineLevel="0" collapsed="false">
      <c r="A132" s="4" t="s">
        <v>121</v>
      </c>
      <c r="B132" s="3" t="s">
        <v>1596</v>
      </c>
      <c r="C132" s="3" t="s">
        <v>2019</v>
      </c>
      <c r="D132" s="3" t="s">
        <v>2020</v>
      </c>
      <c r="E132" s="3" t="s">
        <v>2021</v>
      </c>
      <c r="F132" s="3" t="s">
        <v>2022</v>
      </c>
    </row>
    <row r="133" customFormat="false" ht="15" hidden="false" customHeight="true" outlineLevel="0" collapsed="false">
      <c r="A133" s="4" t="s">
        <v>121</v>
      </c>
      <c r="B133" s="3" t="s">
        <v>1596</v>
      </c>
      <c r="C133" s="3" t="s">
        <v>2023</v>
      </c>
      <c r="D133" s="3" t="s">
        <v>2024</v>
      </c>
      <c r="E133" s="3" t="s">
        <v>2025</v>
      </c>
      <c r="F133" s="3" t="s">
        <v>2026</v>
      </c>
    </row>
    <row r="134" customFormat="false" ht="23.25" hidden="false" customHeight="true" outlineLevel="0" collapsed="false">
      <c r="A134" s="4" t="s">
        <v>121</v>
      </c>
      <c r="B134" s="3" t="s">
        <v>1596</v>
      </c>
      <c r="C134" s="3" t="s">
        <v>2027</v>
      </c>
      <c r="D134" s="3" t="s">
        <v>2024</v>
      </c>
      <c r="E134" s="3" t="s">
        <v>2028</v>
      </c>
      <c r="F134" s="3" t="s">
        <v>2029</v>
      </c>
    </row>
    <row r="135" customFormat="false" ht="23.25" hidden="false" customHeight="true" outlineLevel="0" collapsed="false">
      <c r="A135" s="4" t="s">
        <v>121</v>
      </c>
      <c r="B135" s="3" t="s">
        <v>1596</v>
      </c>
      <c r="C135" s="3" t="s">
        <v>2030</v>
      </c>
      <c r="D135" s="3" t="s">
        <v>2024</v>
      </c>
      <c r="E135" s="3" t="s">
        <v>2031</v>
      </c>
      <c r="F135" s="3" t="s">
        <v>2032</v>
      </c>
    </row>
    <row r="136" customFormat="false" ht="23.25" hidden="false" customHeight="true" outlineLevel="0" collapsed="false">
      <c r="A136" s="4" t="s">
        <v>121</v>
      </c>
      <c r="B136" s="3" t="s">
        <v>1596</v>
      </c>
      <c r="C136" s="3" t="s">
        <v>2033</v>
      </c>
      <c r="D136" s="3" t="s">
        <v>2024</v>
      </c>
      <c r="E136" s="3" t="s">
        <v>2034</v>
      </c>
      <c r="F136" s="3" t="s">
        <v>2035</v>
      </c>
    </row>
    <row r="137" customFormat="false" ht="23.25" hidden="false" customHeight="true" outlineLevel="0" collapsed="false">
      <c r="A137" s="4" t="s">
        <v>121</v>
      </c>
      <c r="B137" s="3" t="s">
        <v>2036</v>
      </c>
      <c r="C137" s="3" t="s">
        <v>2037</v>
      </c>
      <c r="D137" s="3" t="s">
        <v>2038</v>
      </c>
      <c r="E137" s="3" t="s">
        <v>2039</v>
      </c>
      <c r="F137" s="3" t="s">
        <v>2040</v>
      </c>
    </row>
    <row r="138" customFormat="false" ht="34.5" hidden="false" customHeight="true" outlineLevel="0" collapsed="false">
      <c r="A138" s="4" t="s">
        <v>121</v>
      </c>
      <c r="B138" s="3" t="s">
        <v>1729</v>
      </c>
      <c r="C138" s="3" t="s">
        <v>2041</v>
      </c>
      <c r="D138" s="3" t="s">
        <v>809</v>
      </c>
      <c r="E138" s="3" t="s">
        <v>809</v>
      </c>
      <c r="F138" s="3" t="s">
        <v>2042</v>
      </c>
    </row>
    <row r="139" customFormat="false" ht="23.25" hidden="false" customHeight="true" outlineLevel="0" collapsed="false">
      <c r="A139" s="4" t="s">
        <v>132</v>
      </c>
      <c r="B139" s="3" t="s">
        <v>1558</v>
      </c>
      <c r="C139" s="3" t="s">
        <v>2043</v>
      </c>
      <c r="D139" s="3" t="s">
        <v>1831</v>
      </c>
      <c r="E139" s="3" t="s">
        <v>2044</v>
      </c>
      <c r="F139" s="3" t="s">
        <v>2045</v>
      </c>
    </row>
    <row r="140" customFormat="false" ht="23.25" hidden="false" customHeight="true" outlineLevel="0" collapsed="false">
      <c r="A140" s="4" t="s">
        <v>132</v>
      </c>
      <c r="B140" s="3" t="s">
        <v>1558</v>
      </c>
      <c r="C140" s="3" t="s">
        <v>2046</v>
      </c>
      <c r="D140" s="3" t="s">
        <v>1831</v>
      </c>
      <c r="E140" s="3" t="s">
        <v>2047</v>
      </c>
      <c r="F140" s="3" t="s">
        <v>2048</v>
      </c>
    </row>
    <row r="141" customFormat="false" ht="23.25" hidden="false" customHeight="true" outlineLevel="0" collapsed="false">
      <c r="A141" s="4" t="s">
        <v>132</v>
      </c>
      <c r="B141" s="3" t="s">
        <v>1558</v>
      </c>
      <c r="C141" s="3" t="s">
        <v>2049</v>
      </c>
      <c r="D141" s="3" t="s">
        <v>2050</v>
      </c>
      <c r="E141" s="3" t="s">
        <v>2051</v>
      </c>
      <c r="F141" s="3" t="s">
        <v>2052</v>
      </c>
    </row>
    <row r="142" customFormat="false" ht="23.25" hidden="false" customHeight="true" outlineLevel="0" collapsed="false">
      <c r="A142" s="4" t="s">
        <v>132</v>
      </c>
      <c r="B142" s="3" t="s">
        <v>1558</v>
      </c>
      <c r="C142" s="3" t="s">
        <v>2053</v>
      </c>
      <c r="D142" s="3" t="s">
        <v>1831</v>
      </c>
      <c r="E142" s="3" t="s">
        <v>2054</v>
      </c>
      <c r="F142" s="3" t="s">
        <v>2055</v>
      </c>
    </row>
    <row r="143" customFormat="false" ht="23.25" hidden="false" customHeight="true" outlineLevel="0" collapsed="false">
      <c r="A143" s="4" t="s">
        <v>132</v>
      </c>
      <c r="B143" s="3" t="s">
        <v>1558</v>
      </c>
      <c r="C143" s="3" t="s">
        <v>2056</v>
      </c>
      <c r="D143" s="3" t="s">
        <v>2050</v>
      </c>
      <c r="E143" s="3" t="s">
        <v>2057</v>
      </c>
      <c r="F143" s="3" t="s">
        <v>2058</v>
      </c>
    </row>
    <row r="144" customFormat="false" ht="23.25" hidden="false" customHeight="true" outlineLevel="0" collapsed="false">
      <c r="A144" s="4" t="s">
        <v>132</v>
      </c>
      <c r="B144" s="3" t="s">
        <v>1596</v>
      </c>
      <c r="C144" s="3" t="s">
        <v>2059</v>
      </c>
      <c r="D144" s="3" t="s">
        <v>2060</v>
      </c>
      <c r="E144" s="3" t="s">
        <v>2061</v>
      </c>
      <c r="F144" s="3" t="s">
        <v>2062</v>
      </c>
    </row>
    <row r="145" customFormat="false" ht="34.5" hidden="false" customHeight="true" outlineLevel="0" collapsed="false">
      <c r="A145" s="4" t="s">
        <v>132</v>
      </c>
      <c r="B145" s="3" t="s">
        <v>1729</v>
      </c>
      <c r="C145" s="3" t="s">
        <v>2063</v>
      </c>
      <c r="D145" s="3" t="s">
        <v>809</v>
      </c>
      <c r="E145" s="3" t="s">
        <v>809</v>
      </c>
      <c r="F145" s="3" t="s">
        <v>2064</v>
      </c>
    </row>
    <row r="146" customFormat="false" ht="23.25" hidden="false" customHeight="true" outlineLevel="0" collapsed="false">
      <c r="A146" s="4" t="s">
        <v>139</v>
      </c>
      <c r="B146" s="3" t="s">
        <v>1558</v>
      </c>
      <c r="C146" s="3" t="s">
        <v>2065</v>
      </c>
      <c r="D146" s="3" t="s">
        <v>2066</v>
      </c>
      <c r="E146" s="3" t="s">
        <v>2067</v>
      </c>
      <c r="F146" s="3" t="s">
        <v>2068</v>
      </c>
    </row>
    <row r="147" customFormat="false" ht="23.25" hidden="false" customHeight="true" outlineLevel="0" collapsed="false">
      <c r="A147" s="4" t="s">
        <v>139</v>
      </c>
      <c r="B147" s="3" t="s">
        <v>1558</v>
      </c>
      <c r="C147" s="3" t="s">
        <v>2069</v>
      </c>
      <c r="D147" s="3" t="s">
        <v>2070</v>
      </c>
      <c r="E147" s="3" t="s">
        <v>2071</v>
      </c>
      <c r="F147" s="3" t="s">
        <v>2072</v>
      </c>
    </row>
    <row r="148" customFormat="false" ht="23.25" hidden="false" customHeight="true" outlineLevel="0" collapsed="false">
      <c r="A148" s="4" t="s">
        <v>139</v>
      </c>
      <c r="B148" s="3" t="s">
        <v>1621</v>
      </c>
      <c r="C148" s="3" t="s">
        <v>2073</v>
      </c>
      <c r="D148" s="3" t="s">
        <v>2074</v>
      </c>
      <c r="E148" s="3" t="s">
        <v>2075</v>
      </c>
      <c r="F148" s="3" t="s">
        <v>2076</v>
      </c>
    </row>
    <row r="149" customFormat="false" ht="23.25" hidden="false" customHeight="true" outlineLevel="0" collapsed="false">
      <c r="A149" s="4" t="s">
        <v>139</v>
      </c>
      <c r="B149" s="3" t="s">
        <v>1621</v>
      </c>
      <c r="C149" s="3" t="s">
        <v>2077</v>
      </c>
      <c r="D149" s="3" t="s">
        <v>2078</v>
      </c>
      <c r="E149" s="3" t="s">
        <v>2075</v>
      </c>
      <c r="F149" s="3" t="s">
        <v>2079</v>
      </c>
    </row>
    <row r="150" customFormat="false" ht="23.25" hidden="false" customHeight="true" outlineLevel="0" collapsed="false">
      <c r="A150" s="4" t="s">
        <v>139</v>
      </c>
      <c r="B150" s="3" t="s">
        <v>1558</v>
      </c>
      <c r="C150" s="3" t="s">
        <v>2080</v>
      </c>
      <c r="D150" s="3" t="s">
        <v>2081</v>
      </c>
      <c r="E150" s="3" t="s">
        <v>2082</v>
      </c>
      <c r="F150" s="3" t="s">
        <v>2083</v>
      </c>
    </row>
    <row r="151" customFormat="false" ht="23.25" hidden="false" customHeight="true" outlineLevel="0" collapsed="false">
      <c r="A151" s="4" t="s">
        <v>139</v>
      </c>
      <c r="B151" s="3" t="s">
        <v>2084</v>
      </c>
      <c r="C151" s="3" t="s">
        <v>2085</v>
      </c>
      <c r="D151" s="3" t="s">
        <v>2086</v>
      </c>
      <c r="E151" s="3" t="s">
        <v>2087</v>
      </c>
      <c r="F151" s="3" t="s">
        <v>2088</v>
      </c>
    </row>
    <row r="152" customFormat="false" ht="23.25" hidden="false" customHeight="true" outlineLevel="0" collapsed="false">
      <c r="A152" s="4" t="s">
        <v>139</v>
      </c>
      <c r="B152" s="3" t="s">
        <v>2089</v>
      </c>
      <c r="C152" s="3" t="s">
        <v>2090</v>
      </c>
      <c r="D152" s="3" t="s">
        <v>2070</v>
      </c>
      <c r="E152" s="3" t="s">
        <v>2091</v>
      </c>
      <c r="F152" s="3" t="s">
        <v>2092</v>
      </c>
    </row>
    <row r="153" customFormat="false" ht="23.25" hidden="false" customHeight="true" outlineLevel="0" collapsed="false">
      <c r="A153" s="4" t="s">
        <v>139</v>
      </c>
      <c r="B153" s="3" t="s">
        <v>1563</v>
      </c>
      <c r="C153" s="3" t="s">
        <v>2093</v>
      </c>
      <c r="D153" s="3" t="s">
        <v>2094</v>
      </c>
      <c r="E153" s="3" t="s">
        <v>2095</v>
      </c>
      <c r="F153" s="3" t="s">
        <v>2096</v>
      </c>
    </row>
    <row r="154" customFormat="false" ht="34.5" hidden="false" customHeight="true" outlineLevel="0" collapsed="false">
      <c r="A154" s="4" t="s">
        <v>139</v>
      </c>
      <c r="B154" s="3" t="s">
        <v>1729</v>
      </c>
      <c r="C154" s="3" t="s">
        <v>2097</v>
      </c>
      <c r="D154" s="3" t="s">
        <v>2098</v>
      </c>
      <c r="E154" s="3" t="s">
        <v>2099</v>
      </c>
      <c r="F154" s="3" t="s">
        <v>2100</v>
      </c>
    </row>
    <row r="155" customFormat="false" ht="34.5" hidden="false" customHeight="true" outlineLevel="0" collapsed="false">
      <c r="A155" s="4" t="s">
        <v>139</v>
      </c>
      <c r="B155" s="3" t="s">
        <v>2101</v>
      </c>
      <c r="C155" s="3" t="s">
        <v>2102</v>
      </c>
      <c r="D155" s="3" t="s">
        <v>2103</v>
      </c>
      <c r="E155" s="3" t="s">
        <v>2075</v>
      </c>
      <c r="F155" s="3" t="s">
        <v>145</v>
      </c>
    </row>
    <row r="156" customFormat="false" ht="34.5" hidden="false" customHeight="true" outlineLevel="0" collapsed="false">
      <c r="A156" s="4" t="s">
        <v>139</v>
      </c>
      <c r="B156" s="3" t="s">
        <v>1596</v>
      </c>
      <c r="C156" s="3" t="s">
        <v>2104</v>
      </c>
      <c r="D156" s="3" t="s">
        <v>2105</v>
      </c>
      <c r="E156" s="3" t="s">
        <v>2075</v>
      </c>
      <c r="F156" s="3" t="s">
        <v>2106</v>
      </c>
    </row>
    <row r="157" customFormat="false" ht="23.25" hidden="false" customHeight="true" outlineLevel="0" collapsed="false">
      <c r="A157" s="4" t="s">
        <v>139</v>
      </c>
      <c r="B157" s="3" t="s">
        <v>1596</v>
      </c>
      <c r="C157" s="3" t="s">
        <v>2107</v>
      </c>
      <c r="D157" s="3" t="s">
        <v>2108</v>
      </c>
      <c r="E157" s="3" t="s">
        <v>2082</v>
      </c>
      <c r="F157" s="3" t="s">
        <v>2109</v>
      </c>
    </row>
    <row r="158" customFormat="false" ht="23.25" hidden="false" customHeight="true" outlineLevel="0" collapsed="false">
      <c r="A158" s="4" t="s">
        <v>139</v>
      </c>
      <c r="B158" s="3" t="s">
        <v>1596</v>
      </c>
      <c r="C158" s="3" t="s">
        <v>2110</v>
      </c>
      <c r="D158" s="3" t="s">
        <v>2105</v>
      </c>
      <c r="E158" s="3" t="s">
        <v>2111</v>
      </c>
      <c r="F158" s="3" t="s">
        <v>2112</v>
      </c>
    </row>
    <row r="159" customFormat="false" ht="23.25" hidden="false" customHeight="true" outlineLevel="0" collapsed="false">
      <c r="A159" s="4" t="s">
        <v>139</v>
      </c>
      <c r="B159" s="3" t="s">
        <v>1596</v>
      </c>
      <c r="C159" s="3" t="s">
        <v>2113</v>
      </c>
      <c r="D159" s="3" t="s">
        <v>2114</v>
      </c>
      <c r="E159" s="3" t="s">
        <v>2115</v>
      </c>
      <c r="F159" s="3" t="s">
        <v>2116</v>
      </c>
    </row>
    <row r="160" customFormat="false" ht="23.25" hidden="false" customHeight="true" outlineLevel="0" collapsed="false">
      <c r="A160" s="4" t="s">
        <v>139</v>
      </c>
      <c r="B160" s="3" t="s">
        <v>1596</v>
      </c>
      <c r="C160" s="3" t="s">
        <v>2117</v>
      </c>
      <c r="D160" s="3" t="s">
        <v>2114</v>
      </c>
      <c r="E160" s="3" t="s">
        <v>2118</v>
      </c>
      <c r="F160" s="3" t="s">
        <v>2119</v>
      </c>
    </row>
    <row r="161" customFormat="false" ht="23.25" hidden="false" customHeight="true" outlineLevel="0" collapsed="false">
      <c r="A161" s="4" t="s">
        <v>139</v>
      </c>
      <c r="B161" s="3" t="s">
        <v>1596</v>
      </c>
      <c r="C161" s="3" t="s">
        <v>2120</v>
      </c>
      <c r="D161" s="3" t="s">
        <v>2121</v>
      </c>
      <c r="E161" s="3" t="s">
        <v>2122</v>
      </c>
      <c r="F161" s="3" t="s">
        <v>2123</v>
      </c>
    </row>
    <row r="162" customFormat="false" ht="23.25" hidden="false" customHeight="true" outlineLevel="0" collapsed="false">
      <c r="A162" s="4" t="s">
        <v>139</v>
      </c>
      <c r="B162" s="3" t="s">
        <v>1596</v>
      </c>
      <c r="C162" s="3" t="s">
        <v>2124</v>
      </c>
      <c r="D162" s="3" t="s">
        <v>2125</v>
      </c>
      <c r="E162" s="3" t="s">
        <v>2091</v>
      </c>
      <c r="F162" s="3" t="s">
        <v>2126</v>
      </c>
    </row>
    <row r="163" customFormat="false" ht="23.25" hidden="false" customHeight="true" outlineLevel="0" collapsed="false">
      <c r="A163" s="4" t="s">
        <v>139</v>
      </c>
      <c r="B163" s="3" t="s">
        <v>1596</v>
      </c>
      <c r="C163" s="3" t="s">
        <v>2127</v>
      </c>
      <c r="D163" s="3" t="s">
        <v>2128</v>
      </c>
      <c r="E163" s="3" t="s">
        <v>2129</v>
      </c>
      <c r="F163" s="3" t="s">
        <v>2130</v>
      </c>
    </row>
    <row r="164" customFormat="false" ht="23.25" hidden="false" customHeight="true" outlineLevel="0" collapsed="false">
      <c r="A164" s="4" t="s">
        <v>139</v>
      </c>
      <c r="B164" s="3" t="s">
        <v>1596</v>
      </c>
      <c r="C164" s="3" t="s">
        <v>2131</v>
      </c>
      <c r="D164" s="3" t="s">
        <v>2132</v>
      </c>
      <c r="E164" s="3" t="s">
        <v>2133</v>
      </c>
      <c r="F164" s="3" t="s">
        <v>2134</v>
      </c>
    </row>
    <row r="165" customFormat="false" ht="23.25" hidden="false" customHeight="true" outlineLevel="0" collapsed="false">
      <c r="A165" s="4" t="s">
        <v>139</v>
      </c>
      <c r="B165" s="3" t="s">
        <v>1596</v>
      </c>
      <c r="C165" s="3" t="s">
        <v>2135</v>
      </c>
      <c r="D165" s="3" t="s">
        <v>2132</v>
      </c>
      <c r="E165" s="3" t="s">
        <v>2136</v>
      </c>
      <c r="F165" s="3" t="s">
        <v>2137</v>
      </c>
    </row>
    <row r="166" customFormat="false" ht="23.25" hidden="false" customHeight="true" outlineLevel="0" collapsed="false">
      <c r="A166" s="4" t="s">
        <v>139</v>
      </c>
      <c r="B166" s="3" t="s">
        <v>1596</v>
      </c>
      <c r="C166" s="3" t="s">
        <v>2138</v>
      </c>
      <c r="D166" s="3" t="s">
        <v>2114</v>
      </c>
      <c r="E166" s="3" t="s">
        <v>2136</v>
      </c>
      <c r="F166" s="3" t="s">
        <v>2139</v>
      </c>
    </row>
    <row r="167" customFormat="false" ht="23.25" hidden="false" customHeight="true" outlineLevel="0" collapsed="false">
      <c r="A167" s="4" t="s">
        <v>139</v>
      </c>
      <c r="B167" s="3" t="s">
        <v>1596</v>
      </c>
      <c r="C167" s="3" t="s">
        <v>2140</v>
      </c>
      <c r="D167" s="3" t="s">
        <v>2141</v>
      </c>
      <c r="E167" s="3" t="s">
        <v>2142</v>
      </c>
      <c r="F167" s="3" t="s">
        <v>2143</v>
      </c>
    </row>
    <row r="168" customFormat="false" ht="23.25" hidden="false" customHeight="true" outlineLevel="0" collapsed="false">
      <c r="A168" s="4" t="s">
        <v>139</v>
      </c>
      <c r="B168" s="3" t="s">
        <v>1596</v>
      </c>
      <c r="C168" s="3" t="s">
        <v>2144</v>
      </c>
      <c r="D168" s="3" t="s">
        <v>2145</v>
      </c>
      <c r="E168" s="3" t="s">
        <v>2142</v>
      </c>
      <c r="F168" s="3" t="s">
        <v>2146</v>
      </c>
    </row>
    <row r="169" customFormat="false" ht="23.25" hidden="false" customHeight="true" outlineLevel="0" collapsed="false">
      <c r="A169" s="4" t="s">
        <v>139</v>
      </c>
      <c r="B169" s="3" t="s">
        <v>1596</v>
      </c>
      <c r="C169" s="3" t="s">
        <v>2147</v>
      </c>
      <c r="D169" s="3" t="s">
        <v>2132</v>
      </c>
      <c r="E169" s="3" t="s">
        <v>2148</v>
      </c>
      <c r="F169" s="3" t="s">
        <v>2149</v>
      </c>
    </row>
    <row r="170" customFormat="false" ht="23.25" hidden="false" customHeight="true" outlineLevel="0" collapsed="false">
      <c r="A170" s="4" t="s">
        <v>139</v>
      </c>
      <c r="B170" s="3" t="s">
        <v>1596</v>
      </c>
      <c r="C170" s="3" t="s">
        <v>2150</v>
      </c>
      <c r="D170" s="3" t="s">
        <v>2141</v>
      </c>
      <c r="E170" s="3" t="s">
        <v>2151</v>
      </c>
      <c r="F170" s="3" t="s">
        <v>2152</v>
      </c>
    </row>
    <row r="171" customFormat="false" ht="23.25" hidden="false" customHeight="true" outlineLevel="0" collapsed="false">
      <c r="A171" s="4" t="s">
        <v>139</v>
      </c>
      <c r="B171" s="3" t="s">
        <v>1596</v>
      </c>
      <c r="C171" s="3" t="s">
        <v>2153</v>
      </c>
      <c r="D171" s="3" t="s">
        <v>2121</v>
      </c>
      <c r="E171" s="3" t="s">
        <v>2154</v>
      </c>
      <c r="F171" s="3" t="s">
        <v>2155</v>
      </c>
    </row>
  </sheetData>
  <autoFilter ref="A1:F1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5" min="2" style="1" width="26"/>
    <col collapsed="false" customWidth="true" hidden="false" outlineLevel="0" max="6" min="6" style="1" width="60"/>
    <col collapsed="false" customWidth="true" hidden="false" outlineLevel="0" max="7" min="7" style="1" width="80"/>
  </cols>
  <sheetData>
    <row r="1" customFormat="false" ht="23.25" hidden="false" customHeight="true" outlineLevel="0" collapsed="false">
      <c r="A1" s="22" t="s">
        <v>627</v>
      </c>
      <c r="B1" s="22" t="s">
        <v>2156</v>
      </c>
      <c r="C1" s="22" t="s">
        <v>2157</v>
      </c>
      <c r="D1" s="22" t="s">
        <v>2158</v>
      </c>
      <c r="E1" s="22" t="s">
        <v>2159</v>
      </c>
      <c r="F1" s="22" t="s">
        <v>2160</v>
      </c>
      <c r="G1" s="22" t="s">
        <v>2161</v>
      </c>
    </row>
    <row r="2" customFormat="false" ht="36" hidden="false" customHeight="true" outlineLevel="0" collapsed="false">
      <c r="A2" s="4" t="s">
        <v>750</v>
      </c>
      <c r="B2" s="3" t="s">
        <v>2162</v>
      </c>
      <c r="C2" s="3" t="s">
        <v>2163</v>
      </c>
      <c r="D2" s="3" t="s">
        <v>2164</v>
      </c>
      <c r="E2" s="3"/>
      <c r="F2" s="3" t="s">
        <v>2165</v>
      </c>
      <c r="G2" s="3" t="s">
        <v>2166</v>
      </c>
    </row>
    <row r="3" customFormat="false" ht="108" hidden="false" customHeight="true" outlineLevel="0" collapsed="false">
      <c r="A3" s="4" t="s">
        <v>814</v>
      </c>
      <c r="B3" s="3" t="s">
        <v>56</v>
      </c>
      <c r="C3" s="3" t="s">
        <v>2167</v>
      </c>
      <c r="D3" s="3" t="s">
        <v>2167</v>
      </c>
      <c r="E3" s="3" t="s">
        <v>2168</v>
      </c>
      <c r="F3" s="3" t="s">
        <v>2169</v>
      </c>
      <c r="G3" s="3" t="s">
        <v>2170</v>
      </c>
    </row>
    <row r="4" customFormat="false" ht="81" hidden="false" customHeight="true" outlineLevel="0" collapsed="false">
      <c r="A4" s="4" t="s">
        <v>909</v>
      </c>
      <c r="B4" s="3" t="s">
        <v>77</v>
      </c>
      <c r="C4" s="3" t="s">
        <v>2167</v>
      </c>
      <c r="D4" s="3" t="s">
        <v>2167</v>
      </c>
      <c r="E4" s="3" t="s">
        <v>2168</v>
      </c>
      <c r="F4" s="3" t="s">
        <v>2171</v>
      </c>
      <c r="G4" s="3" t="s">
        <v>2172</v>
      </c>
    </row>
    <row r="5" customFormat="false" ht="34.5" hidden="false" customHeight="true" outlineLevel="0" collapsed="false">
      <c r="A5" s="4" t="s">
        <v>958</v>
      </c>
      <c r="B5" s="3" t="s">
        <v>150</v>
      </c>
      <c r="C5" s="3" t="s">
        <v>2167</v>
      </c>
      <c r="D5" s="3" t="s">
        <v>2167</v>
      </c>
      <c r="E5" s="3" t="s">
        <v>2168</v>
      </c>
      <c r="F5" s="3" t="s">
        <v>2173</v>
      </c>
      <c r="G5" s="3" t="s">
        <v>2174</v>
      </c>
    </row>
    <row r="6" customFormat="false" ht="109.5" hidden="false" customHeight="true" outlineLevel="0" collapsed="false">
      <c r="A6" s="4" t="s">
        <v>1041</v>
      </c>
      <c r="B6" s="3" t="s">
        <v>2175</v>
      </c>
      <c r="C6" s="3" t="s">
        <v>2167</v>
      </c>
      <c r="D6" s="3" t="s">
        <v>2167</v>
      </c>
      <c r="E6" s="3" t="s">
        <v>2168</v>
      </c>
      <c r="F6" s="3" t="s">
        <v>2176</v>
      </c>
      <c r="G6" s="3" t="s">
        <v>2177</v>
      </c>
    </row>
    <row r="7" customFormat="false" ht="79.5" hidden="false" customHeight="true" outlineLevel="0" collapsed="false">
      <c r="A7" s="4" t="s">
        <v>1092</v>
      </c>
      <c r="B7" s="3" t="s">
        <v>2178</v>
      </c>
      <c r="C7" s="3" t="s">
        <v>2167</v>
      </c>
      <c r="D7" s="3" t="s">
        <v>2167</v>
      </c>
      <c r="E7" s="3" t="s">
        <v>2168</v>
      </c>
      <c r="F7" s="3" t="s">
        <v>2179</v>
      </c>
      <c r="G7" s="3" t="s">
        <v>2180</v>
      </c>
    </row>
    <row r="8" customFormat="false" ht="113.25" hidden="false" customHeight="true" outlineLevel="0" collapsed="false">
      <c r="A8" s="4" t="s">
        <v>1113</v>
      </c>
      <c r="B8" s="3" t="s">
        <v>106</v>
      </c>
      <c r="C8" s="3" t="s">
        <v>2167</v>
      </c>
      <c r="D8" s="3" t="s">
        <v>2167</v>
      </c>
      <c r="E8" s="3" t="s">
        <v>2168</v>
      </c>
      <c r="F8" s="3" t="s">
        <v>2181</v>
      </c>
      <c r="G8" s="3" t="s">
        <v>2182</v>
      </c>
    </row>
    <row r="9" customFormat="false" ht="124.5" hidden="false" customHeight="true" outlineLevel="0" collapsed="false">
      <c r="A9" s="4" t="s">
        <v>1169</v>
      </c>
      <c r="B9" s="3" t="s">
        <v>116</v>
      </c>
      <c r="C9" s="3" t="s">
        <v>2167</v>
      </c>
      <c r="D9" s="3" t="s">
        <v>2167</v>
      </c>
      <c r="E9" s="3" t="s">
        <v>2168</v>
      </c>
      <c r="F9" s="3" t="s">
        <v>2183</v>
      </c>
      <c r="G9" s="3" t="s">
        <v>2184</v>
      </c>
    </row>
    <row r="10" customFormat="false" ht="102" hidden="false" customHeight="true" outlineLevel="0" collapsed="false">
      <c r="A10" s="4" t="s">
        <v>1218</v>
      </c>
      <c r="B10" s="3" t="s">
        <v>124</v>
      </c>
      <c r="C10" s="3" t="s">
        <v>2167</v>
      </c>
      <c r="D10" s="3" t="s">
        <v>2167</v>
      </c>
      <c r="E10" s="3" t="s">
        <v>2168</v>
      </c>
      <c r="F10" s="3" t="s">
        <v>2185</v>
      </c>
      <c r="G10" s="3" t="s">
        <v>2186</v>
      </c>
    </row>
    <row r="11" customFormat="false" ht="102" hidden="false" customHeight="true" outlineLevel="0" collapsed="false">
      <c r="A11" s="4" t="s">
        <v>1266</v>
      </c>
      <c r="B11" s="3" t="s">
        <v>134</v>
      </c>
      <c r="C11" s="3" t="s">
        <v>2167</v>
      </c>
      <c r="D11" s="3" t="s">
        <v>2167</v>
      </c>
      <c r="E11" s="3" t="s">
        <v>2168</v>
      </c>
      <c r="F11" s="3" t="s">
        <v>2187</v>
      </c>
      <c r="G11" s="3" t="s">
        <v>2188</v>
      </c>
    </row>
    <row r="12" customFormat="false" ht="102" hidden="false" customHeight="true" outlineLevel="0" collapsed="false">
      <c r="A12" s="4" t="s">
        <v>1310</v>
      </c>
      <c r="B12" s="3" t="s">
        <v>2189</v>
      </c>
      <c r="C12" s="3" t="s">
        <v>2167</v>
      </c>
      <c r="D12" s="3" t="s">
        <v>2167</v>
      </c>
      <c r="E12" s="3" t="s">
        <v>2168</v>
      </c>
      <c r="F12" s="3" t="s">
        <v>2190</v>
      </c>
      <c r="G12" s="3" t="s">
        <v>2191</v>
      </c>
    </row>
  </sheetData>
  <autoFilter ref="A1:G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4" min="3" style="1" width="44"/>
    <col collapsed="false" customWidth="true" hidden="false" outlineLevel="0" max="5" min="5" style="1" width="60"/>
  </cols>
  <sheetData>
    <row r="1" customFormat="false" ht="15" hidden="false" customHeight="true" outlineLevel="0" collapsed="false">
      <c r="A1" s="24" t="s">
        <v>2192</v>
      </c>
      <c r="B1" s="24" t="s">
        <v>27</v>
      </c>
      <c r="C1" s="24" t="s">
        <v>2193</v>
      </c>
      <c r="D1" s="24" t="s">
        <v>2194</v>
      </c>
      <c r="E1" s="24" t="s">
        <v>2195</v>
      </c>
    </row>
    <row r="2" customFormat="false" ht="34.5" hidden="false" customHeight="true" outlineLevel="0" collapsed="false">
      <c r="A2" s="3" t="s">
        <v>2196</v>
      </c>
      <c r="B2" s="3" t="s">
        <v>43</v>
      </c>
      <c r="C2" s="3" t="s">
        <v>2197</v>
      </c>
      <c r="D2" s="3" t="s">
        <v>2198</v>
      </c>
      <c r="E2" s="3" t="s">
        <v>2199</v>
      </c>
    </row>
    <row r="3" customFormat="false" ht="23.25" hidden="false" customHeight="true" outlineLevel="0" collapsed="false">
      <c r="A3" s="3" t="s">
        <v>2200</v>
      </c>
      <c r="B3" s="3" t="s">
        <v>77</v>
      </c>
      <c r="C3" s="3" t="s">
        <v>2201</v>
      </c>
      <c r="D3" s="3" t="s">
        <v>2202</v>
      </c>
      <c r="E3" s="3" t="s">
        <v>2203</v>
      </c>
    </row>
    <row r="4" customFormat="false" ht="23.25" hidden="false" customHeight="true" outlineLevel="0" collapsed="false">
      <c r="A4" s="3" t="s">
        <v>2204</v>
      </c>
      <c r="B4" s="3" t="s">
        <v>56</v>
      </c>
      <c r="C4" s="3" t="s">
        <v>2205</v>
      </c>
      <c r="D4" s="3" t="s">
        <v>2206</v>
      </c>
      <c r="E4" s="3" t="s">
        <v>2207</v>
      </c>
    </row>
    <row r="5" customFormat="false" ht="23.25" hidden="false" customHeight="true" outlineLevel="0" collapsed="false">
      <c r="A5" s="3" t="s">
        <v>2208</v>
      </c>
      <c r="B5" s="3" t="s">
        <v>56</v>
      </c>
      <c r="C5" s="3" t="s">
        <v>2209</v>
      </c>
      <c r="D5" s="3" t="s">
        <v>2210</v>
      </c>
      <c r="E5" s="3" t="s">
        <v>2211</v>
      </c>
    </row>
    <row r="6" customFormat="false" ht="23.25" hidden="false" customHeight="true" outlineLevel="0" collapsed="false">
      <c r="A6" s="3" t="s">
        <v>2212</v>
      </c>
      <c r="B6" s="3" t="s">
        <v>96</v>
      </c>
      <c r="C6" s="3" t="s">
        <v>2213</v>
      </c>
      <c r="D6" s="3"/>
      <c r="E6" s="3" t="s">
        <v>2214</v>
      </c>
    </row>
    <row r="7" customFormat="false" ht="23.25" hidden="false" customHeight="true" outlineLevel="0" collapsed="false">
      <c r="A7" s="3" t="s">
        <v>2215</v>
      </c>
      <c r="B7" s="3" t="s">
        <v>77</v>
      </c>
      <c r="C7" s="3" t="s">
        <v>2216</v>
      </c>
      <c r="D7" s="3" t="s">
        <v>498</v>
      </c>
      <c r="E7" s="3" t="s">
        <v>2217</v>
      </c>
    </row>
    <row r="8" customFormat="false" ht="23.25" hidden="false" customHeight="true" outlineLevel="0" collapsed="false">
      <c r="A8" s="3" t="s">
        <v>2218</v>
      </c>
      <c r="B8" s="3" t="s">
        <v>2219</v>
      </c>
      <c r="C8" s="3" t="s">
        <v>2220</v>
      </c>
      <c r="D8" s="3"/>
      <c r="E8" s="3" t="s">
        <v>2211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2221</v>
      </c>
    </row>
    <row r="2" customFormat="false" ht="23.25" hidden="false" customHeight="true" outlineLevel="0" collapsed="false">
      <c r="A2" s="26" t="s">
        <v>748</v>
      </c>
      <c r="B2" s="27"/>
      <c r="C2" s="27"/>
      <c r="D2" s="27"/>
      <c r="E2" s="27"/>
      <c r="F2" s="27"/>
    </row>
    <row r="3" customFormat="false" ht="23.25" hidden="false" customHeight="true" outlineLevel="0" collapsed="false">
      <c r="A3" s="4" t="s">
        <v>747</v>
      </c>
      <c r="B3" s="27"/>
      <c r="C3" s="27"/>
      <c r="D3" s="27"/>
      <c r="E3" s="27"/>
      <c r="F3" s="27"/>
    </row>
    <row r="4" customFormat="false" ht="57" hidden="false" customHeight="true" outlineLevel="0" collapsed="false">
      <c r="A4" s="3" t="s">
        <v>2222</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750</v>
      </c>
      <c r="C7" s="30"/>
      <c r="D7" s="30"/>
      <c r="E7" s="30"/>
      <c r="F7" s="30"/>
    </row>
    <row r="8" customFormat="false" ht="15" hidden="false" customHeight="true" outlineLevel="0" collapsed="false">
      <c r="A8" s="29" t="s">
        <v>2156</v>
      </c>
      <c r="B8" s="30" t="s">
        <v>2162</v>
      </c>
      <c r="C8" s="30"/>
      <c r="D8" s="30"/>
      <c r="E8" s="30"/>
      <c r="F8" s="30"/>
    </row>
    <row r="9" customFormat="false" ht="15" hidden="false" customHeight="true" outlineLevel="0" collapsed="false">
      <c r="A9" s="29" t="s">
        <v>2157</v>
      </c>
      <c r="B9" s="30" t="s">
        <v>2163</v>
      </c>
      <c r="C9" s="30"/>
      <c r="D9" s="30"/>
      <c r="E9" s="30"/>
      <c r="F9" s="30"/>
    </row>
    <row r="10" customFormat="false" ht="15" hidden="false" customHeight="true" outlineLevel="0" collapsed="false">
      <c r="A10" s="29" t="s">
        <v>2158</v>
      </c>
      <c r="B10" s="30" t="s">
        <v>2164</v>
      </c>
      <c r="C10" s="30"/>
      <c r="D10" s="30"/>
      <c r="E10" s="30"/>
      <c r="F10" s="30"/>
    </row>
    <row r="11" customFormat="false" ht="15" hidden="false" customHeight="true" outlineLevel="0" collapsed="false">
      <c r="A11" s="29" t="s">
        <v>2159</v>
      </c>
      <c r="B11" s="30"/>
      <c r="C11" s="30"/>
      <c r="D11" s="30"/>
      <c r="E11" s="30"/>
      <c r="F11" s="30"/>
    </row>
    <row r="12" customFormat="false" ht="15" hidden="false" customHeight="true" outlineLevel="0" collapsed="false">
      <c r="A12" s="29" t="s">
        <v>2160</v>
      </c>
      <c r="B12" s="30" t="s">
        <v>2165</v>
      </c>
      <c r="C12" s="30"/>
      <c r="D12" s="30"/>
      <c r="E12" s="30"/>
      <c r="F12" s="30"/>
    </row>
    <row r="13" customFormat="false" ht="15" hidden="false" customHeight="true" outlineLevel="0" collapsed="false">
      <c r="A13" s="29" t="s">
        <v>2161</v>
      </c>
      <c r="B13" s="30" t="s">
        <v>2166</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749</v>
      </c>
      <c r="C16" s="30"/>
      <c r="D16" s="30"/>
      <c r="E16" s="30"/>
      <c r="F16" s="30"/>
    </row>
    <row r="17" customFormat="false" ht="15" hidden="false" customHeight="true" outlineLevel="0" collapsed="false">
      <c r="A17" s="29" t="s">
        <v>627</v>
      </c>
      <c r="B17" s="30" t="s">
        <v>750</v>
      </c>
      <c r="C17" s="30"/>
      <c r="D17" s="30"/>
      <c r="E17" s="30"/>
      <c r="F17" s="30"/>
    </row>
    <row r="18" customFormat="false" ht="15" hidden="false" customHeight="true" outlineLevel="0" collapsed="false">
      <c r="A18" s="29" t="s">
        <v>628</v>
      </c>
      <c r="B18" s="31" t="s">
        <v>751</v>
      </c>
      <c r="C18" s="31"/>
      <c r="D18" s="31"/>
      <c r="E18" s="31"/>
      <c r="F18" s="31"/>
    </row>
    <row r="19" customFormat="false" ht="15" hidden="false" customHeight="true" outlineLevel="0" collapsed="false">
      <c r="A19" s="29" t="s">
        <v>629</v>
      </c>
      <c r="B19" s="30" t="s">
        <v>752</v>
      </c>
      <c r="C19" s="30"/>
      <c r="D19" s="30"/>
      <c r="E19" s="30"/>
      <c r="F19" s="30"/>
    </row>
    <row r="20" customFormat="false" ht="15" hidden="false" customHeight="true" outlineLevel="0" collapsed="false">
      <c r="A20" s="29" t="s">
        <v>630</v>
      </c>
      <c r="B20" s="30" t="s">
        <v>753</v>
      </c>
      <c r="C20" s="30"/>
      <c r="D20" s="30"/>
      <c r="E20" s="30"/>
      <c r="F20" s="30"/>
    </row>
    <row r="21" customFormat="false" ht="15" hidden="false" customHeight="true" outlineLevel="0" collapsed="false">
      <c r="A21" s="29" t="s">
        <v>631</v>
      </c>
      <c r="B21" s="30" t="s">
        <v>754</v>
      </c>
      <c r="C21" s="30"/>
      <c r="D21" s="30"/>
      <c r="E21" s="30"/>
      <c r="F21" s="30"/>
    </row>
    <row r="22" customFormat="false" ht="15" hidden="false" customHeight="true" outlineLevel="0" collapsed="false">
      <c r="A22" s="29" t="s">
        <v>632</v>
      </c>
      <c r="B22" s="30" t="s">
        <v>755</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42</v>
      </c>
      <c r="C25" s="31"/>
      <c r="D25" s="31"/>
      <c r="E25" s="31"/>
      <c r="F25" s="31"/>
    </row>
    <row r="26" customFormat="false" ht="15" hidden="false" customHeight="true" outlineLevel="0" collapsed="false">
      <c r="A26" s="29" t="s">
        <v>635</v>
      </c>
      <c r="B26" s="30" t="s">
        <v>41</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757</v>
      </c>
      <c r="C28" s="30"/>
      <c r="D28" s="30"/>
      <c r="E28" s="30"/>
      <c r="F28" s="30"/>
    </row>
    <row r="29" customFormat="false" ht="15" hidden="false" customHeight="true" outlineLevel="0" collapsed="false">
      <c r="A29" s="29" t="s">
        <v>638</v>
      </c>
      <c r="B29" s="30" t="s">
        <v>758</v>
      </c>
      <c r="C29" s="30"/>
      <c r="D29" s="30"/>
      <c r="E29" s="30"/>
      <c r="F29" s="30"/>
    </row>
    <row r="30" customFormat="false" ht="15" hidden="false" customHeight="true" outlineLevel="0" collapsed="false">
      <c r="A30" s="29" t="s">
        <v>639</v>
      </c>
      <c r="B30" s="30" t="s">
        <v>759</v>
      </c>
      <c r="C30" s="30"/>
      <c r="D30" s="30"/>
      <c r="E30" s="30"/>
      <c r="F30" s="30"/>
    </row>
    <row r="31" customFormat="false" ht="15" hidden="false" customHeight="true" outlineLevel="0" collapsed="false">
      <c r="A31" s="29" t="s">
        <v>640</v>
      </c>
      <c r="B31" s="30" t="s">
        <v>760</v>
      </c>
      <c r="C31" s="30"/>
      <c r="D31" s="30"/>
      <c r="E31" s="30"/>
      <c r="F31" s="30"/>
    </row>
    <row r="32" customFormat="false" ht="15" hidden="false" customHeight="true" outlineLevel="0" collapsed="false">
      <c r="A32" s="29" t="s">
        <v>641</v>
      </c>
      <c r="B32" s="30" t="s">
        <v>761</v>
      </c>
      <c r="C32" s="30"/>
      <c r="D32" s="30"/>
      <c r="E32" s="30"/>
      <c r="F32" s="30"/>
    </row>
    <row r="33" customFormat="false" ht="15" hidden="false" customHeight="true" outlineLevel="0" collapsed="false">
      <c r="A33" s="29" t="s">
        <v>642</v>
      </c>
      <c r="B33" s="30" t="s">
        <v>762</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763</v>
      </c>
      <c r="C36" s="30"/>
      <c r="D36" s="30"/>
      <c r="E36" s="30"/>
      <c r="F36" s="30"/>
    </row>
    <row r="37" customFormat="false" ht="15" hidden="false" customHeight="true" outlineLevel="0" collapsed="false">
      <c r="A37" s="29" t="s">
        <v>644</v>
      </c>
      <c r="B37" s="31" t="s">
        <v>764</v>
      </c>
      <c r="C37" s="31"/>
      <c r="D37" s="31"/>
      <c r="E37" s="31"/>
      <c r="F37" s="31"/>
    </row>
    <row r="38" customFormat="false" ht="15" hidden="false" customHeight="true" outlineLevel="0" collapsed="false">
      <c r="A38" s="29" t="s">
        <v>645</v>
      </c>
      <c r="B38" s="30" t="s">
        <v>765</v>
      </c>
      <c r="C38" s="30"/>
      <c r="D38" s="30"/>
      <c r="E38" s="30"/>
      <c r="F38" s="30"/>
    </row>
    <row r="39" customFormat="false" ht="15" hidden="false" customHeight="true" outlineLevel="0" collapsed="false">
      <c r="A39" s="29" t="s">
        <v>646</v>
      </c>
      <c r="B39" s="30" t="s">
        <v>766</v>
      </c>
      <c r="C39" s="30"/>
      <c r="D39" s="30"/>
      <c r="E39" s="30"/>
      <c r="F39" s="30"/>
    </row>
    <row r="40" customFormat="false" ht="15" hidden="false" customHeight="true" outlineLevel="0" collapsed="false">
      <c r="A40" s="29" t="s">
        <v>647</v>
      </c>
      <c r="B40" s="30" t="s">
        <v>767</v>
      </c>
      <c r="C40" s="30"/>
      <c r="D40" s="30"/>
      <c r="E40" s="30"/>
      <c r="F40" s="30"/>
    </row>
    <row r="41" customFormat="false" ht="15" hidden="false" customHeight="true" outlineLevel="0" collapsed="false">
      <c r="A41" s="29" t="s">
        <v>648</v>
      </c>
      <c r="B41" s="30" t="s">
        <v>768</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770</v>
      </c>
      <c r="C43" s="30"/>
      <c r="D43" s="30"/>
      <c r="E43" s="30"/>
      <c r="F43" s="30"/>
    </row>
    <row r="44" customFormat="false" ht="15" hidden="false" customHeight="true" outlineLevel="0" collapsed="false">
      <c r="A44" s="29" t="s">
        <v>651</v>
      </c>
      <c r="B44" s="30" t="s">
        <v>771</v>
      </c>
      <c r="C44" s="30"/>
      <c r="D44" s="30"/>
      <c r="E44" s="30"/>
      <c r="F44" s="30"/>
    </row>
    <row r="45" customFormat="false" ht="15" hidden="false" customHeight="true" outlineLevel="0" collapsed="false">
      <c r="A45" s="29" t="s">
        <v>652</v>
      </c>
      <c r="B45" s="30" t="s">
        <v>772</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758</v>
      </c>
      <c r="C47" s="30"/>
      <c r="D47" s="30"/>
      <c r="E47" s="30"/>
      <c r="F47" s="30"/>
    </row>
    <row r="48" customFormat="false" ht="23.25" hidden="false" customHeight="true" outlineLevel="0" collapsed="false">
      <c r="A48" s="29" t="s">
        <v>655</v>
      </c>
      <c r="B48" s="30" t="s">
        <v>774</v>
      </c>
      <c r="C48" s="30"/>
      <c r="D48" s="30"/>
      <c r="E48" s="30"/>
      <c r="F48" s="30"/>
    </row>
    <row r="49" customFormat="false" ht="15" hidden="false" customHeight="true" outlineLevel="0" collapsed="false">
      <c r="A49" s="29" t="s">
        <v>656</v>
      </c>
      <c r="B49" s="30" t="s">
        <v>775</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776</v>
      </c>
      <c r="C52" s="30"/>
      <c r="D52" s="30"/>
      <c r="E52" s="30"/>
      <c r="F52" s="30"/>
    </row>
    <row r="53" customFormat="false" ht="15" hidden="false" customHeight="true" outlineLevel="0" collapsed="false">
      <c r="A53" s="29" t="s">
        <v>658</v>
      </c>
      <c r="B53" s="30" t="s">
        <v>777</v>
      </c>
      <c r="C53" s="30"/>
      <c r="D53" s="30"/>
      <c r="E53" s="30"/>
      <c r="F53" s="30"/>
    </row>
    <row r="54" customFormat="false" ht="15" hidden="false" customHeight="true" outlineLevel="0" collapsed="false">
      <c r="A54" s="29" t="s">
        <v>659</v>
      </c>
      <c r="B54" s="30" t="s">
        <v>778</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2228</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7"/>
      <c r="E62" s="27"/>
      <c r="F62" s="27"/>
    </row>
    <row r="63" customFormat="false" ht="15" hidden="false" customHeight="true" outlineLevel="0" collapsed="false">
      <c r="A63" s="3" t="s">
        <v>1355</v>
      </c>
      <c r="B63" s="3" t="s">
        <v>59</v>
      </c>
      <c r="C63" s="3" t="s">
        <v>1372</v>
      </c>
      <c r="D63" s="27"/>
      <c r="E63" s="27"/>
      <c r="F63" s="27"/>
    </row>
    <row r="64" customFormat="false" ht="15" hidden="false" customHeight="true" outlineLevel="0" collapsed="false">
      <c r="A64" s="3" t="s">
        <v>1356</v>
      </c>
      <c r="B64" s="3" t="s">
        <v>1364</v>
      </c>
      <c r="C64" s="3" t="s">
        <v>1373</v>
      </c>
      <c r="D64" s="27"/>
      <c r="E64" s="27"/>
      <c r="F64" s="27"/>
    </row>
    <row r="65" customFormat="false" ht="26.25" hidden="false" customHeight="true" outlineLevel="0" collapsed="false">
      <c r="A65" s="3" t="s">
        <v>1357</v>
      </c>
      <c r="B65" s="3" t="s">
        <v>1365</v>
      </c>
      <c r="C65" s="3" t="s">
        <v>1374</v>
      </c>
      <c r="D65" s="27"/>
      <c r="E65" s="27"/>
      <c r="F65" s="27"/>
    </row>
    <row r="66" customFormat="false" ht="15" hidden="false" customHeight="true" outlineLevel="0" collapsed="false">
      <c r="A66" s="3" t="s">
        <v>1358</v>
      </c>
      <c r="B66" s="3" t="s">
        <v>1366</v>
      </c>
      <c r="C66" s="3" t="s">
        <v>1375</v>
      </c>
      <c r="D66" s="27"/>
      <c r="E66" s="27"/>
      <c r="F66" s="27"/>
    </row>
    <row r="67" customFormat="false" ht="37.5" hidden="false" customHeight="true" outlineLevel="0" collapsed="false">
      <c r="A67" s="3" t="s">
        <v>1359</v>
      </c>
      <c r="B67" s="3" t="s">
        <v>1367</v>
      </c>
      <c r="C67" s="3" t="s">
        <v>1376</v>
      </c>
      <c r="D67" s="27"/>
      <c r="E67" s="27"/>
      <c r="F67" s="27"/>
    </row>
    <row r="68" customFormat="false" ht="15" hidden="false" customHeight="true" outlineLevel="0" collapsed="false">
      <c r="A68" s="3" t="s">
        <v>1360</v>
      </c>
      <c r="B68" s="3" t="s">
        <v>1368</v>
      </c>
      <c r="C68" s="3" t="s">
        <v>1377</v>
      </c>
      <c r="D68" s="27"/>
      <c r="E68" s="27"/>
      <c r="F68" s="27"/>
    </row>
    <row r="69" customFormat="false" ht="15" hidden="false" customHeight="true" outlineLevel="0" collapsed="false">
      <c r="A69" s="3" t="s">
        <v>1361</v>
      </c>
      <c r="B69" s="3" t="s">
        <v>1369</v>
      </c>
      <c r="C69" s="3" t="s">
        <v>1378</v>
      </c>
      <c r="D69" s="27"/>
      <c r="E69" s="27"/>
      <c r="F69" s="27"/>
    </row>
    <row r="70" customFormat="false" ht="34.5" hidden="false" customHeight="true" outlineLevel="0" collapsed="false">
      <c r="A70" s="3" t="s">
        <v>1362</v>
      </c>
      <c r="B70" s="3" t="s">
        <v>1370</v>
      </c>
      <c r="C70" s="3" t="s">
        <v>1379</v>
      </c>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780</v>
      </c>
      <c r="C74" s="30"/>
      <c r="D74" s="30"/>
      <c r="E74" s="30"/>
      <c r="F74" s="30"/>
    </row>
    <row r="75" customFormat="false" ht="15" hidden="false" customHeight="true" outlineLevel="0" collapsed="false">
      <c r="A75" s="29" t="s">
        <v>1359</v>
      </c>
      <c r="B75" s="30" t="s">
        <v>781</v>
      </c>
      <c r="C75" s="30"/>
      <c r="D75" s="30"/>
      <c r="E75" s="30"/>
      <c r="F75" s="30"/>
    </row>
    <row r="76" customFormat="false" ht="23.25" hidden="false" customHeight="true" outlineLevel="0" collapsed="false">
      <c r="A76" s="29" t="s">
        <v>2239</v>
      </c>
      <c r="B76" s="30" t="s">
        <v>782</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45.75" hidden="false" customHeight="true" outlineLevel="0" collapsed="false">
      <c r="A79" s="29" t="s">
        <v>669</v>
      </c>
      <c r="B79" s="30" t="s">
        <v>783</v>
      </c>
      <c r="C79" s="30"/>
      <c r="D79" s="30"/>
      <c r="E79" s="30"/>
      <c r="F79" s="30"/>
    </row>
    <row r="80" customFormat="false" ht="24.75" hidden="false" customHeight="true" outlineLevel="0" collapsed="false">
      <c r="A80" s="29" t="s">
        <v>670</v>
      </c>
      <c r="B80" s="30" t="s">
        <v>784</v>
      </c>
      <c r="C80" s="30"/>
      <c r="D80" s="30"/>
      <c r="E80" s="30"/>
      <c r="F80" s="30"/>
    </row>
    <row r="81" customFormat="false" ht="36" hidden="false" customHeight="true" outlineLevel="0" collapsed="false">
      <c r="A81" s="29" t="s">
        <v>671</v>
      </c>
      <c r="B81" s="30" t="s">
        <v>785</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23.25" hidden="false" customHeight="true" outlineLevel="0" collapsed="false">
      <c r="A85" s="3" t="s">
        <v>2245</v>
      </c>
      <c r="B85" s="3" t="s">
        <v>786</v>
      </c>
      <c r="C85" s="3" t="s">
        <v>2246</v>
      </c>
      <c r="D85" s="27"/>
      <c r="E85" s="27"/>
      <c r="F85" s="27"/>
    </row>
    <row r="86" customFormat="false" ht="23.25" hidden="false" customHeight="true" outlineLevel="0" collapsed="false">
      <c r="A86" s="3" t="s">
        <v>2247</v>
      </c>
      <c r="B86" s="3" t="s">
        <v>787</v>
      </c>
      <c r="C86" s="3" t="s">
        <v>2246</v>
      </c>
      <c r="D86" s="27"/>
      <c r="E86" s="27"/>
      <c r="F86" s="27"/>
    </row>
    <row r="87" customFormat="false" ht="23.25" hidden="false" customHeight="true" outlineLevel="0" collapsed="false">
      <c r="A87" s="3" t="s">
        <v>2248</v>
      </c>
      <c r="B87" s="3" t="s">
        <v>788</v>
      </c>
      <c r="C87" s="3" t="s">
        <v>2246</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15" hidden="false" customHeight="true" outlineLevel="0" collapsed="false">
      <c r="A92" s="3" t="s">
        <v>2254</v>
      </c>
      <c r="B92" s="3" t="s">
        <v>809</v>
      </c>
      <c r="C92" s="3" t="s">
        <v>2250</v>
      </c>
      <c r="D92" s="27"/>
      <c r="E92" s="27"/>
      <c r="F92" s="27"/>
    </row>
    <row r="93" customFormat="false" ht="15" hidden="false" customHeight="true" outlineLevel="0" collapsed="false">
      <c r="A93" s="3" t="s">
        <v>2255</v>
      </c>
      <c r="B93" s="3" t="s">
        <v>789</v>
      </c>
      <c r="C93" s="3" t="s">
        <v>2246</v>
      </c>
      <c r="D93" s="27"/>
      <c r="E93" s="27"/>
      <c r="F93" s="27"/>
    </row>
    <row r="94" customFormat="false" ht="15" hidden="false" customHeight="true" outlineLevel="0" collapsed="false">
      <c r="A94" s="3" t="s">
        <v>2256</v>
      </c>
      <c r="B94" s="3" t="s">
        <v>809</v>
      </c>
      <c r="C94" s="3" t="s">
        <v>2250</v>
      </c>
      <c r="D94" s="27"/>
      <c r="E94" s="27"/>
      <c r="F94" s="27"/>
    </row>
    <row r="95" customFormat="false" ht="34.5" hidden="false" customHeight="true" outlineLevel="0" collapsed="false">
      <c r="A95" s="3" t="s">
        <v>2257</v>
      </c>
      <c r="B95" s="3" t="s">
        <v>790</v>
      </c>
      <c r="C95" s="3" t="s">
        <v>2246</v>
      </c>
      <c r="D95" s="27"/>
      <c r="E95" s="27"/>
      <c r="F95" s="27"/>
    </row>
    <row r="96" customFormat="false" ht="15" hidden="false" customHeight="true" outlineLevel="0" collapsed="false">
      <c r="A96" s="3" t="s">
        <v>2258</v>
      </c>
      <c r="B96" s="3" t="s">
        <v>809</v>
      </c>
      <c r="C96" s="3" t="s">
        <v>2250</v>
      </c>
      <c r="D96" s="27"/>
      <c r="E96" s="27"/>
      <c r="F96" s="27"/>
    </row>
    <row r="97" customFormat="false" ht="23.25" hidden="false" customHeight="true" outlineLevel="0" collapsed="false">
      <c r="A97" s="3" t="s">
        <v>2259</v>
      </c>
      <c r="B97" s="3" t="s">
        <v>791</v>
      </c>
      <c r="C97" s="3" t="s">
        <v>2246</v>
      </c>
      <c r="D97" s="27"/>
      <c r="E97" s="27"/>
      <c r="F97" s="27"/>
    </row>
    <row r="98" customFormat="false" ht="23.25" hidden="false" customHeight="true" outlineLevel="0" collapsed="false">
      <c r="A98" s="3" t="s">
        <v>2260</v>
      </c>
      <c r="B98" s="3" t="s">
        <v>809</v>
      </c>
      <c r="C98" s="3" t="s">
        <v>2250</v>
      </c>
      <c r="D98" s="27"/>
      <c r="E98" s="27"/>
      <c r="F98" s="27"/>
    </row>
    <row r="99" customFormat="false" ht="23.25" hidden="false" customHeight="true" outlineLevel="0" collapsed="false">
      <c r="A99" s="3" t="s">
        <v>2261</v>
      </c>
      <c r="B99" s="3" t="s">
        <v>792</v>
      </c>
      <c r="C99" s="3" t="s">
        <v>2246</v>
      </c>
      <c r="D99" s="27"/>
      <c r="E99" s="27"/>
      <c r="F99" s="27"/>
    </row>
    <row r="100" customFormat="false" ht="15" hidden="false" customHeight="true" outlineLevel="0" collapsed="false">
      <c r="A100" s="3" t="s">
        <v>2262</v>
      </c>
      <c r="B100" s="3" t="s">
        <v>809</v>
      </c>
      <c r="C100" s="3" t="s">
        <v>2250</v>
      </c>
      <c r="D100" s="27"/>
      <c r="E100" s="27"/>
      <c r="F100" s="27"/>
    </row>
    <row r="101" customFormat="false" ht="15" hidden="false" customHeight="true" outlineLevel="0" collapsed="false">
      <c r="A101" s="27"/>
      <c r="B101" s="27"/>
      <c r="C101" s="27"/>
      <c r="D101" s="27"/>
      <c r="E101" s="27"/>
      <c r="F101" s="27"/>
    </row>
    <row r="102" customFormat="false" ht="15" hidden="false" customHeight="true" outlineLevel="0" collapsed="false">
      <c r="A102" s="28" t="s">
        <v>2263</v>
      </c>
      <c r="B102" s="28"/>
      <c r="C102" s="28"/>
      <c r="D102" s="28"/>
      <c r="E102" s="28"/>
      <c r="F102" s="28"/>
    </row>
    <row r="103" customFormat="false" ht="15" hidden="false" customHeight="true" outlineLevel="0" collapsed="false">
      <c r="A103" s="29" t="s">
        <v>2264</v>
      </c>
      <c r="B103" s="29" t="s">
        <v>2265</v>
      </c>
      <c r="C103" s="29" t="s">
        <v>2244</v>
      </c>
      <c r="D103" s="27"/>
      <c r="E103" s="27"/>
      <c r="F103" s="27"/>
    </row>
    <row r="104" customFormat="false" ht="15" hidden="false" customHeight="true" outlineLevel="0" collapsed="false">
      <c r="A104" s="3" t="s">
        <v>2266</v>
      </c>
      <c r="B104" s="3" t="s">
        <v>793</v>
      </c>
      <c r="C104" s="3" t="s">
        <v>2246</v>
      </c>
      <c r="D104" s="27"/>
      <c r="E104" s="27"/>
      <c r="F104" s="27"/>
    </row>
    <row r="105" customFormat="false" ht="15" hidden="false" customHeight="true" outlineLevel="0" collapsed="false">
      <c r="A105" s="3" t="s">
        <v>2267</v>
      </c>
      <c r="B105" s="3" t="s">
        <v>794</v>
      </c>
      <c r="C105" s="3" t="s">
        <v>2246</v>
      </c>
      <c r="D105" s="27"/>
      <c r="E105" s="27"/>
      <c r="F105" s="27"/>
    </row>
    <row r="106" customFormat="false" ht="15" hidden="false" customHeight="true" outlineLevel="0" collapsed="false">
      <c r="A106" s="3" t="s">
        <v>2268</v>
      </c>
      <c r="B106" s="3" t="s">
        <v>809</v>
      </c>
      <c r="C106" s="3" t="s">
        <v>2250</v>
      </c>
      <c r="D106" s="27"/>
      <c r="E106" s="27"/>
      <c r="F106" s="27"/>
    </row>
    <row r="107" customFormat="false" ht="15" hidden="false" customHeight="true" outlineLevel="0" collapsed="false">
      <c r="A107" s="3" t="s">
        <v>2269</v>
      </c>
      <c r="B107" s="3" t="s">
        <v>809</v>
      </c>
      <c r="C107" s="3" t="s">
        <v>2250</v>
      </c>
      <c r="D107" s="27"/>
      <c r="E107" s="27"/>
      <c r="F107" s="27"/>
    </row>
    <row r="108" customFormat="false" ht="15" hidden="false" customHeight="true" outlineLevel="0" collapsed="false">
      <c r="A108" s="3" t="s">
        <v>2270</v>
      </c>
      <c r="B108" s="3" t="s">
        <v>809</v>
      </c>
      <c r="C108" s="3" t="s">
        <v>2250</v>
      </c>
      <c r="D108" s="27"/>
      <c r="E108" s="27"/>
      <c r="F108" s="27"/>
    </row>
    <row r="109" customFormat="false" ht="15" hidden="false" customHeight="true" outlineLevel="0" collapsed="false">
      <c r="A109" s="3" t="s">
        <v>2271</v>
      </c>
      <c r="B109" s="3" t="s">
        <v>795</v>
      </c>
      <c r="C109" s="3" t="s">
        <v>2246</v>
      </c>
      <c r="D109" s="27"/>
      <c r="E109" s="27"/>
      <c r="F109" s="27"/>
    </row>
    <row r="110" customFormat="false" ht="23.25" hidden="false" customHeight="true" outlineLevel="0" collapsed="false">
      <c r="A110" s="3" t="s">
        <v>2272</v>
      </c>
      <c r="B110" s="3" t="s">
        <v>809</v>
      </c>
      <c r="C110" s="3" t="s">
        <v>2250</v>
      </c>
      <c r="D110" s="27"/>
      <c r="E110" s="27"/>
      <c r="F110" s="27"/>
    </row>
    <row r="111" customFormat="false" ht="15" hidden="false" customHeight="true" outlineLevel="0" collapsed="false">
      <c r="A111" s="3" t="s">
        <v>2273</v>
      </c>
      <c r="B111" s="3" t="s">
        <v>796</v>
      </c>
      <c r="C111" s="3" t="s">
        <v>2246</v>
      </c>
      <c r="D111" s="27"/>
      <c r="E111" s="27"/>
      <c r="F111" s="27"/>
    </row>
    <row r="112" customFormat="false" ht="15" hidden="false" customHeight="true" outlineLevel="0" collapsed="false">
      <c r="A112" s="3" t="s">
        <v>2274</v>
      </c>
      <c r="B112" s="3" t="s">
        <v>809</v>
      </c>
      <c r="C112" s="3" t="s">
        <v>2250</v>
      </c>
      <c r="D112" s="27"/>
      <c r="E112" s="27"/>
      <c r="F112" s="27"/>
    </row>
    <row r="113" customFormat="false" ht="15" hidden="false" customHeight="true" outlineLevel="0" collapsed="false">
      <c r="A113" s="3" t="s">
        <v>2275</v>
      </c>
      <c r="B113" s="3" t="s">
        <v>809</v>
      </c>
      <c r="C113" s="3" t="s">
        <v>2250</v>
      </c>
      <c r="D113" s="27"/>
      <c r="E113" s="27"/>
      <c r="F113" s="27"/>
    </row>
    <row r="114" customFormat="false" ht="15" hidden="false" customHeight="true" outlineLevel="0" collapsed="false">
      <c r="A114" s="27"/>
      <c r="B114" s="27"/>
      <c r="C114" s="27"/>
      <c r="D114" s="27"/>
      <c r="E114" s="27"/>
      <c r="F114" s="27"/>
    </row>
    <row r="115" customFormat="false" ht="15" hidden="false" customHeight="true" outlineLevel="0" collapsed="false">
      <c r="A115" s="28" t="s">
        <v>2276</v>
      </c>
      <c r="B115" s="28"/>
      <c r="C115" s="28"/>
      <c r="D115" s="28"/>
      <c r="E115" s="28"/>
      <c r="F115" s="28"/>
    </row>
    <row r="116" customFormat="false" ht="15" hidden="false" customHeight="true" outlineLevel="0" collapsed="false">
      <c r="A116" s="29" t="s">
        <v>2277</v>
      </c>
      <c r="B116" s="29" t="s">
        <v>2278</v>
      </c>
      <c r="C116" s="29" t="s">
        <v>24</v>
      </c>
      <c r="D116" s="27"/>
      <c r="E116" s="27"/>
      <c r="F116" s="27"/>
    </row>
    <row r="117" customFormat="false" ht="15" hidden="false" customHeight="true" outlineLevel="0" collapsed="false">
      <c r="A117" s="3" t="s">
        <v>2279</v>
      </c>
      <c r="B117" s="3" t="s">
        <v>798</v>
      </c>
      <c r="C117" s="3" t="s">
        <v>797</v>
      </c>
      <c r="D117" s="27"/>
      <c r="E117" s="27"/>
      <c r="F117" s="27"/>
    </row>
    <row r="118" customFormat="false" ht="23.25" hidden="false" customHeight="true" outlineLevel="0" collapsed="false">
      <c r="A118" s="3" t="s">
        <v>2280</v>
      </c>
      <c r="B118" s="3" t="s">
        <v>799</v>
      </c>
      <c r="C118" s="3" t="s">
        <v>797</v>
      </c>
      <c r="D118" s="27"/>
      <c r="E118" s="27"/>
      <c r="F118" s="27"/>
    </row>
    <row r="119" customFormat="false" ht="15" hidden="false" customHeight="true" outlineLevel="0" collapsed="false">
      <c r="A119" s="3" t="s">
        <v>2281</v>
      </c>
      <c r="B119" s="3" t="s">
        <v>800</v>
      </c>
      <c r="C119" s="3" t="s">
        <v>797</v>
      </c>
      <c r="D119" s="27"/>
      <c r="E119" s="27"/>
      <c r="F119" s="27"/>
    </row>
    <row r="120" customFormat="false" ht="15" hidden="false" customHeight="true" outlineLevel="0" collapsed="false">
      <c r="A120" s="3" t="s">
        <v>2227</v>
      </c>
      <c r="B120" s="3" t="s">
        <v>802</v>
      </c>
      <c r="C120" s="3" t="s">
        <v>801</v>
      </c>
      <c r="D120" s="27"/>
      <c r="E120" s="27"/>
      <c r="F120" s="27"/>
    </row>
    <row r="121" customFormat="false" ht="15" hidden="false" customHeight="true" outlineLevel="0" collapsed="false">
      <c r="A121" s="3" t="s">
        <v>2229</v>
      </c>
      <c r="B121" s="3" t="s">
        <v>803</v>
      </c>
      <c r="C121" s="3" t="s">
        <v>801</v>
      </c>
      <c r="D121" s="27"/>
      <c r="E121" s="27"/>
      <c r="F121" s="27"/>
    </row>
    <row r="122" customFormat="false" ht="15" hidden="false" customHeight="true" outlineLevel="0" collapsed="false">
      <c r="A122" s="3" t="s">
        <v>2230</v>
      </c>
      <c r="B122" s="3" t="s">
        <v>805</v>
      </c>
      <c r="C122" s="3" t="s">
        <v>804</v>
      </c>
      <c r="D122" s="27"/>
      <c r="E122" s="27"/>
      <c r="F122" s="27"/>
    </row>
    <row r="123" customFormat="false" ht="15" hidden="false" customHeight="true" outlineLevel="0" collapsed="false">
      <c r="A123" s="3" t="s">
        <v>2282</v>
      </c>
      <c r="B123" s="3" t="s">
        <v>806</v>
      </c>
      <c r="C123" s="3" t="s">
        <v>797</v>
      </c>
      <c r="D123" s="27"/>
      <c r="E123" s="27"/>
      <c r="F123" s="27"/>
    </row>
    <row r="124" customFormat="false" ht="15" hidden="false" customHeight="true" outlineLevel="0" collapsed="false">
      <c r="A124" s="3" t="s">
        <v>2283</v>
      </c>
      <c r="B124" s="3" t="s">
        <v>807</v>
      </c>
      <c r="C124" s="3" t="s">
        <v>746</v>
      </c>
      <c r="D124" s="27"/>
      <c r="E124" s="27"/>
      <c r="F124" s="27"/>
    </row>
    <row r="125" customFormat="false" ht="15" hidden="false" customHeight="true" outlineLevel="0" collapsed="false">
      <c r="A125" s="3" t="s">
        <v>2284</v>
      </c>
      <c r="B125" s="3" t="s">
        <v>809</v>
      </c>
      <c r="C125" s="3" t="s">
        <v>808</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2285</v>
      </c>
      <c r="B127" s="28"/>
      <c r="C127" s="28"/>
      <c r="D127" s="28"/>
      <c r="E127" s="28"/>
      <c r="F127" s="28"/>
    </row>
    <row r="128" customFormat="false" ht="15" hidden="false" customHeight="true" outlineLevel="0" collapsed="false">
      <c r="A128" s="29" t="s">
        <v>1553</v>
      </c>
      <c r="B128" s="29" t="s">
        <v>1554</v>
      </c>
      <c r="C128" s="29" t="s">
        <v>1555</v>
      </c>
      <c r="D128" s="29" t="s">
        <v>1556</v>
      </c>
      <c r="E128" s="29" t="s">
        <v>1557</v>
      </c>
      <c r="F128" s="27"/>
    </row>
    <row r="129" customFormat="false" ht="24.75" hidden="false" customHeight="true" outlineLevel="0" collapsed="false">
      <c r="A129" s="3" t="s">
        <v>1558</v>
      </c>
      <c r="B129" s="23" t="s">
        <v>1559</v>
      </c>
      <c r="C129" s="3" t="s">
        <v>1560</v>
      </c>
      <c r="D129" s="3" t="s">
        <v>1561</v>
      </c>
      <c r="E129" s="3" t="s">
        <v>1562</v>
      </c>
      <c r="F129" s="27"/>
    </row>
    <row r="130" customFormat="false" ht="23.25" hidden="false" customHeight="true" outlineLevel="0" collapsed="false">
      <c r="A130" s="3" t="s">
        <v>1563</v>
      </c>
      <c r="B130" s="23" t="s">
        <v>1564</v>
      </c>
      <c r="C130" s="3" t="s">
        <v>781</v>
      </c>
      <c r="D130" s="3" t="s">
        <v>1565</v>
      </c>
      <c r="E130" s="3" t="s">
        <v>1566</v>
      </c>
      <c r="F130" s="27"/>
    </row>
    <row r="131" customFormat="false" ht="23.25" hidden="false" customHeight="true" outlineLevel="0" collapsed="false">
      <c r="A131" s="3" t="s">
        <v>1558</v>
      </c>
      <c r="B131" s="23" t="s">
        <v>1567</v>
      </c>
      <c r="C131" s="3" t="s">
        <v>1568</v>
      </c>
      <c r="D131" s="3" t="s">
        <v>1569</v>
      </c>
      <c r="E131" s="3" t="s">
        <v>1570</v>
      </c>
      <c r="F131" s="27"/>
    </row>
    <row r="132" customFormat="false" ht="23.25" hidden="false" customHeight="true" outlineLevel="0" collapsed="false">
      <c r="A132" s="3" t="s">
        <v>1558</v>
      </c>
      <c r="B132" s="23" t="s">
        <v>1571</v>
      </c>
      <c r="C132" s="3" t="s">
        <v>1572</v>
      </c>
      <c r="D132" s="3" t="s">
        <v>1573</v>
      </c>
      <c r="E132" s="3" t="s">
        <v>1574</v>
      </c>
      <c r="F132" s="27"/>
    </row>
    <row r="133" customFormat="false" ht="15" hidden="false" customHeight="true" outlineLevel="0" collapsed="false">
      <c r="A133" s="3" t="s">
        <v>1575</v>
      </c>
      <c r="B133" s="3" t="s">
        <v>1576</v>
      </c>
      <c r="C133" s="3" t="s">
        <v>809</v>
      </c>
      <c r="D133" s="3" t="s">
        <v>1577</v>
      </c>
      <c r="E133" s="3" t="s">
        <v>1578</v>
      </c>
      <c r="F133" s="27"/>
    </row>
    <row r="134" customFormat="false" ht="15" hidden="false" customHeight="true" outlineLevel="0" collapsed="false">
      <c r="A134" s="27"/>
      <c r="B134" s="27"/>
      <c r="C134" s="27"/>
      <c r="D134" s="27"/>
      <c r="E134" s="27"/>
      <c r="F134" s="27"/>
    </row>
    <row r="135" customFormat="false" ht="15" hidden="false" customHeight="true" outlineLevel="0" collapsed="false">
      <c r="A135" s="28" t="s">
        <v>744</v>
      </c>
      <c r="B135" s="28"/>
      <c r="C135" s="28"/>
      <c r="D135" s="28"/>
      <c r="E135" s="28"/>
      <c r="F135" s="28"/>
    </row>
    <row r="136" customFormat="false" ht="23.25" hidden="false" customHeight="true" outlineLevel="0" collapsed="false">
      <c r="A136" s="29" t="s">
        <v>2265</v>
      </c>
      <c r="B136" s="30" t="s">
        <v>810</v>
      </c>
      <c r="C136" s="30"/>
      <c r="D136" s="30"/>
      <c r="E136" s="30"/>
      <c r="F136"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5:F135"/>
    <mergeCell ref="B136:F1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2286</v>
      </c>
    </row>
    <row r="2" customFormat="false" ht="34.5" hidden="false" customHeight="true" outlineLevel="0" collapsed="false">
      <c r="A2" s="26" t="s">
        <v>813</v>
      </c>
      <c r="B2" s="27"/>
      <c r="C2" s="27"/>
      <c r="D2" s="27"/>
      <c r="E2" s="27"/>
      <c r="F2" s="27"/>
    </row>
    <row r="3" customFormat="false" ht="23.25" hidden="false" customHeight="true" outlineLevel="0" collapsed="false">
      <c r="A3" s="4" t="s">
        <v>812</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814</v>
      </c>
      <c r="C7" s="30"/>
      <c r="D7" s="30"/>
      <c r="E7" s="30"/>
      <c r="F7" s="30"/>
    </row>
    <row r="8" customFormat="false" ht="15" hidden="false" customHeight="true" outlineLevel="0" collapsed="false">
      <c r="A8" s="29" t="s">
        <v>2156</v>
      </c>
      <c r="B8" s="30" t="s">
        <v>56</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4.75" hidden="false" customHeight="true" outlineLevel="0" collapsed="false">
      <c r="A12" s="29" t="s">
        <v>2160</v>
      </c>
      <c r="B12" s="30" t="s">
        <v>2169</v>
      </c>
      <c r="C12" s="30"/>
      <c r="D12" s="30"/>
      <c r="E12" s="30"/>
      <c r="F12" s="30"/>
    </row>
    <row r="13" customFormat="false" ht="50.25" hidden="false" customHeight="true" outlineLevel="0" collapsed="false">
      <c r="A13" s="29" t="s">
        <v>2161</v>
      </c>
      <c r="B13" s="30" t="s">
        <v>2170</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52</v>
      </c>
      <c r="C16" s="30"/>
      <c r="D16" s="30"/>
      <c r="E16" s="30"/>
      <c r="F16" s="30"/>
    </row>
    <row r="17" customFormat="false" ht="15" hidden="false" customHeight="true" outlineLevel="0" collapsed="false">
      <c r="A17" s="29" t="s">
        <v>627</v>
      </c>
      <c r="B17" s="30" t="s">
        <v>814</v>
      </c>
      <c r="C17" s="30"/>
      <c r="D17" s="30"/>
      <c r="E17" s="30"/>
      <c r="F17" s="30"/>
    </row>
    <row r="18" customFormat="false" ht="15" hidden="false" customHeight="true" outlineLevel="0" collapsed="false">
      <c r="A18" s="29" t="s">
        <v>628</v>
      </c>
      <c r="B18" s="31" t="s">
        <v>815</v>
      </c>
      <c r="C18" s="31"/>
      <c r="D18" s="31"/>
      <c r="E18" s="31"/>
      <c r="F18" s="31"/>
    </row>
    <row r="19" customFormat="false" ht="15" hidden="false" customHeight="true" outlineLevel="0" collapsed="false">
      <c r="A19" s="29" t="s">
        <v>629</v>
      </c>
      <c r="B19" s="30" t="s">
        <v>816</v>
      </c>
      <c r="C19" s="30"/>
      <c r="D19" s="30"/>
      <c r="E19" s="30"/>
      <c r="F19" s="30"/>
    </row>
    <row r="20" customFormat="false" ht="15" hidden="false" customHeight="true" outlineLevel="0" collapsed="false">
      <c r="A20" s="29" t="s">
        <v>630</v>
      </c>
      <c r="B20" s="30" t="s">
        <v>817</v>
      </c>
      <c r="C20" s="30"/>
      <c r="D20" s="30"/>
      <c r="E20" s="30"/>
      <c r="F20" s="30"/>
    </row>
    <row r="21" customFormat="false" ht="15" hidden="false" customHeight="true" outlineLevel="0" collapsed="false">
      <c r="A21" s="29" t="s">
        <v>631</v>
      </c>
      <c r="B21" s="30" t="s">
        <v>818</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820</v>
      </c>
      <c r="C25" s="31"/>
      <c r="D25" s="31"/>
      <c r="E25" s="31"/>
      <c r="F25" s="31"/>
    </row>
    <row r="26" customFormat="false" ht="15" hidden="false" customHeight="true" outlineLevel="0" collapsed="false">
      <c r="A26" s="29" t="s">
        <v>635</v>
      </c>
      <c r="B26" s="30" t="s">
        <v>54</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821</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822</v>
      </c>
      <c r="C31" s="30"/>
      <c r="D31" s="30"/>
      <c r="E31" s="30"/>
      <c r="F31" s="30"/>
    </row>
    <row r="32" customFormat="false" ht="15" hidden="false" customHeight="true" outlineLevel="0" collapsed="false">
      <c r="A32" s="29" t="s">
        <v>641</v>
      </c>
      <c r="B32" s="30" t="s">
        <v>823</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824</v>
      </c>
      <c r="C36" s="30"/>
      <c r="D36" s="30"/>
      <c r="E36" s="30"/>
      <c r="F36" s="30"/>
    </row>
    <row r="37" customFormat="false" ht="15" hidden="false" customHeight="true" outlineLevel="0" collapsed="false">
      <c r="A37" s="29" t="s">
        <v>644</v>
      </c>
      <c r="B37" s="31" t="s">
        <v>825</v>
      </c>
      <c r="C37" s="31"/>
      <c r="D37" s="31"/>
      <c r="E37" s="31"/>
      <c r="F37" s="31"/>
    </row>
    <row r="38" customFormat="false" ht="15" hidden="false" customHeight="true" outlineLevel="0" collapsed="false">
      <c r="A38" s="29" t="s">
        <v>645</v>
      </c>
      <c r="B38" s="30" t="s">
        <v>826</v>
      </c>
      <c r="C38" s="30"/>
      <c r="D38" s="30"/>
      <c r="E38" s="30"/>
      <c r="F38" s="30"/>
    </row>
    <row r="39" customFormat="false" ht="15" hidden="false" customHeight="true" outlineLevel="0" collapsed="false">
      <c r="A39" s="29" t="s">
        <v>646</v>
      </c>
      <c r="B39" s="30" t="s">
        <v>827</v>
      </c>
      <c r="C39" s="30"/>
      <c r="D39" s="30"/>
      <c r="E39" s="30"/>
      <c r="F39" s="30"/>
    </row>
    <row r="40" customFormat="false" ht="15" hidden="false" customHeight="true" outlineLevel="0" collapsed="false">
      <c r="A40" s="29" t="s">
        <v>647</v>
      </c>
      <c r="B40" s="30" t="s">
        <v>828</v>
      </c>
      <c r="C40" s="30"/>
      <c r="D40" s="30"/>
      <c r="E40" s="30"/>
      <c r="F40" s="30"/>
    </row>
    <row r="41" customFormat="false" ht="23.25" hidden="false" customHeight="true" outlineLevel="0" collapsed="false">
      <c r="A41" s="29" t="s">
        <v>648</v>
      </c>
      <c r="B41" s="30" t="s">
        <v>829</v>
      </c>
      <c r="C41" s="30"/>
      <c r="D41" s="30"/>
      <c r="E41" s="30"/>
      <c r="F41" s="30"/>
    </row>
    <row r="42" customFormat="false" ht="15" hidden="false" customHeight="true" outlineLevel="0" collapsed="false">
      <c r="A42" s="29" t="s">
        <v>649</v>
      </c>
      <c r="B42" s="30" t="s">
        <v>830</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832</v>
      </c>
      <c r="C44" s="30"/>
      <c r="D44" s="30"/>
      <c r="E44" s="30"/>
      <c r="F44" s="30"/>
    </row>
    <row r="45" customFormat="false" ht="15" hidden="false" customHeight="true" outlineLevel="0" collapsed="false">
      <c r="A45" s="29" t="s">
        <v>652</v>
      </c>
      <c r="B45" s="30" t="s">
        <v>833</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773</v>
      </c>
      <c r="C47" s="30"/>
      <c r="D47" s="30"/>
      <c r="E47" s="30"/>
      <c r="F47" s="30"/>
    </row>
    <row r="48" customFormat="false" ht="23.25" hidden="false" customHeight="true" outlineLevel="0" collapsed="false">
      <c r="A48" s="29" t="s">
        <v>655</v>
      </c>
      <c r="B48" s="30" t="s">
        <v>772</v>
      </c>
      <c r="C48" s="30"/>
      <c r="D48" s="30"/>
      <c r="E48" s="30"/>
      <c r="F48" s="30"/>
    </row>
    <row r="49" customFormat="false" ht="15" hidden="false" customHeight="true" outlineLevel="0" collapsed="false">
      <c r="A49" s="29" t="s">
        <v>656</v>
      </c>
      <c r="B49" s="30" t="s">
        <v>834</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835</v>
      </c>
      <c r="C52" s="30"/>
      <c r="D52" s="30"/>
      <c r="E52" s="30"/>
      <c r="F52" s="30"/>
    </row>
    <row r="53" customFormat="false" ht="15" hidden="false" customHeight="true" outlineLevel="0" collapsed="false">
      <c r="A53" s="29" t="s">
        <v>658</v>
      </c>
      <c r="B53" s="30" t="s">
        <v>836</v>
      </c>
      <c r="C53" s="30"/>
      <c r="D53" s="30"/>
      <c r="E53" s="30"/>
      <c r="F53" s="30"/>
    </row>
    <row r="54" customFormat="false" ht="15" hidden="false" customHeight="true" outlineLevel="0" collapsed="false">
      <c r="A54" s="29" t="s">
        <v>659</v>
      </c>
      <c r="B54" s="30" t="s">
        <v>837</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2288</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7"/>
      <c r="D62" s="27"/>
      <c r="E62" s="27"/>
      <c r="F62" s="27"/>
    </row>
    <row r="63" customFormat="false" ht="15" hidden="false" customHeight="true" outlineLevel="0" collapsed="false">
      <c r="A63" s="3" t="s">
        <v>1355</v>
      </c>
      <c r="B63" s="3" t="s">
        <v>59</v>
      </c>
      <c r="C63" s="27"/>
      <c r="D63" s="27"/>
      <c r="E63" s="27"/>
      <c r="F63" s="27"/>
    </row>
    <row r="64" customFormat="false" ht="15" hidden="false" customHeight="true" outlineLevel="0" collapsed="false">
      <c r="A64" s="3" t="s">
        <v>1356</v>
      </c>
      <c r="B64" s="3" t="s">
        <v>60</v>
      </c>
      <c r="C64" s="27"/>
      <c r="D64" s="27"/>
      <c r="E64" s="27"/>
      <c r="F64" s="27"/>
    </row>
    <row r="65" customFormat="false" ht="24.75" hidden="false" customHeight="true" outlineLevel="0" collapsed="false">
      <c r="A65" s="3" t="s">
        <v>1357</v>
      </c>
      <c r="B65" s="3" t="s">
        <v>1380</v>
      </c>
      <c r="C65" s="27"/>
      <c r="D65" s="27"/>
      <c r="E65" s="27"/>
      <c r="F65" s="27"/>
    </row>
    <row r="66" customFormat="false" ht="15" hidden="false" customHeight="true" outlineLevel="0" collapsed="false">
      <c r="A66" s="3" t="s">
        <v>1358</v>
      </c>
      <c r="B66" s="3" t="s">
        <v>1381</v>
      </c>
      <c r="C66" s="27"/>
      <c r="D66" s="27"/>
      <c r="E66" s="27"/>
      <c r="F66" s="27"/>
    </row>
    <row r="67" customFormat="false" ht="15" hidden="false" customHeight="true" outlineLevel="0" collapsed="false">
      <c r="A67" s="3" t="s">
        <v>1359</v>
      </c>
      <c r="B67" s="3" t="s">
        <v>1382</v>
      </c>
      <c r="C67" s="27"/>
      <c r="D67" s="27"/>
      <c r="E67" s="27"/>
      <c r="F67" s="27"/>
    </row>
    <row r="68" customFormat="false" ht="47.25" hidden="false" customHeight="true" outlineLevel="0" collapsed="false">
      <c r="A68" s="3" t="s">
        <v>1360</v>
      </c>
      <c r="B68" s="3" t="s">
        <v>1383</v>
      </c>
      <c r="C68" s="27"/>
      <c r="D68" s="27"/>
      <c r="E68" s="27"/>
      <c r="F68" s="27"/>
    </row>
    <row r="69" customFormat="false" ht="34.5" hidden="false" customHeight="true" outlineLevel="0" collapsed="false">
      <c r="A69" s="3" t="s">
        <v>1361</v>
      </c>
      <c r="B69" s="3" t="s">
        <v>1384</v>
      </c>
      <c r="C69" s="27"/>
      <c r="D69" s="27"/>
      <c r="E69" s="27"/>
      <c r="F69" s="27"/>
    </row>
    <row r="70" customFormat="false" ht="60" hidden="false" customHeight="true" outlineLevel="0" collapsed="false">
      <c r="A70" s="3" t="s">
        <v>1362</v>
      </c>
      <c r="B70" s="3" t="s">
        <v>1385</v>
      </c>
      <c r="C70" s="27"/>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839</v>
      </c>
      <c r="C74" s="30"/>
      <c r="D74" s="30"/>
      <c r="E74" s="30"/>
      <c r="F74" s="30"/>
    </row>
    <row r="75" customFormat="false" ht="15" hidden="false" customHeight="true" outlineLevel="0" collapsed="false">
      <c r="A75" s="29" t="s">
        <v>1359</v>
      </c>
      <c r="B75" s="30" t="s">
        <v>840</v>
      </c>
      <c r="C75" s="30"/>
      <c r="D75" s="30"/>
      <c r="E75" s="30"/>
      <c r="F75" s="30"/>
    </row>
    <row r="76" customFormat="false" ht="23.25" hidden="false" customHeight="true" outlineLevel="0" collapsed="false">
      <c r="A76" s="29" t="s">
        <v>2239</v>
      </c>
      <c r="B76" s="30" t="s">
        <v>841</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68.25" hidden="false" customHeight="true" outlineLevel="0" collapsed="false">
      <c r="A79" s="29" t="s">
        <v>669</v>
      </c>
      <c r="B79" s="30" t="s">
        <v>842</v>
      </c>
      <c r="C79" s="30"/>
      <c r="D79" s="30"/>
      <c r="E79" s="30"/>
      <c r="F79" s="30"/>
    </row>
    <row r="80" customFormat="false" ht="57" hidden="false" customHeight="true" outlineLevel="0" collapsed="false">
      <c r="A80" s="29" t="s">
        <v>670</v>
      </c>
      <c r="B80" s="30" t="s">
        <v>843</v>
      </c>
      <c r="C80" s="30"/>
      <c r="D80" s="30"/>
      <c r="E80" s="30"/>
      <c r="F80" s="30"/>
    </row>
    <row r="81" customFormat="false" ht="57" hidden="false" customHeight="true" outlineLevel="0" collapsed="false">
      <c r="A81" s="29" t="s">
        <v>671</v>
      </c>
      <c r="B81" s="30" t="s">
        <v>844</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58.5" hidden="false" customHeight="true" outlineLevel="0" collapsed="false">
      <c r="A85" s="3" t="s">
        <v>2245</v>
      </c>
      <c r="B85" s="3" t="s">
        <v>845</v>
      </c>
      <c r="C85" s="3" t="s">
        <v>2246</v>
      </c>
      <c r="D85" s="27"/>
      <c r="E85" s="27"/>
      <c r="F85" s="27"/>
    </row>
    <row r="86" customFormat="false" ht="23.25" hidden="false" customHeight="true" outlineLevel="0" collapsed="false">
      <c r="A86" s="3" t="s">
        <v>2289</v>
      </c>
      <c r="B86" s="3" t="s">
        <v>846</v>
      </c>
      <c r="C86" s="3" t="s">
        <v>2246</v>
      </c>
      <c r="D86" s="27"/>
      <c r="E86" s="27"/>
      <c r="F86" s="27"/>
    </row>
    <row r="87" customFormat="false" ht="23.25" hidden="false" customHeight="true" outlineLevel="0" collapsed="false">
      <c r="A87" s="3" t="s">
        <v>2248</v>
      </c>
      <c r="B87" s="3" t="s">
        <v>847</v>
      </c>
      <c r="C87" s="3" t="s">
        <v>2246</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23.25" hidden="false" customHeight="true" outlineLevel="0" collapsed="false">
      <c r="A92" s="3" t="s">
        <v>2254</v>
      </c>
      <c r="B92" s="3" t="s">
        <v>848</v>
      </c>
      <c r="C92" s="3" t="s">
        <v>2250</v>
      </c>
      <c r="D92" s="27"/>
      <c r="E92" s="27"/>
      <c r="F92" s="27"/>
    </row>
    <row r="93" customFormat="false" ht="15" hidden="false" customHeight="true" outlineLevel="0" collapsed="false">
      <c r="A93" s="3" t="s">
        <v>2255</v>
      </c>
      <c r="B93" s="3" t="s">
        <v>849</v>
      </c>
      <c r="C93" s="3" t="s">
        <v>2246</v>
      </c>
      <c r="D93" s="27"/>
      <c r="E93" s="27"/>
      <c r="F93" s="27"/>
    </row>
    <row r="94" customFormat="false" ht="23.25" hidden="false" customHeight="true" outlineLevel="0" collapsed="false">
      <c r="A94" s="3" t="s">
        <v>2256</v>
      </c>
      <c r="B94" s="3" t="s">
        <v>850</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45.75" hidden="false" customHeight="true" outlineLevel="0" collapsed="false">
      <c r="A96" s="3" t="s">
        <v>2258</v>
      </c>
      <c r="B96" s="3" t="s">
        <v>851</v>
      </c>
      <c r="C96" s="3" t="s">
        <v>2246</v>
      </c>
      <c r="D96" s="27"/>
      <c r="E96" s="27"/>
      <c r="F96" s="27"/>
    </row>
    <row r="97" customFormat="false" ht="15" hidden="false" customHeight="true" outlineLevel="0" collapsed="false">
      <c r="A97" s="3" t="s">
        <v>2259</v>
      </c>
      <c r="B97" s="3" t="s">
        <v>852</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45.75" hidden="false" customHeight="true" outlineLevel="0" collapsed="false">
      <c r="A99" s="3" t="s">
        <v>2261</v>
      </c>
      <c r="B99" s="3" t="s">
        <v>853</v>
      </c>
      <c r="C99" s="3" t="s">
        <v>2246</v>
      </c>
      <c r="D99" s="27"/>
      <c r="E99" s="27"/>
      <c r="F99" s="27"/>
    </row>
    <row r="100" customFormat="false" ht="15" hidden="false" customHeight="true" outlineLevel="0" collapsed="false">
      <c r="A100" s="3" t="s">
        <v>2262</v>
      </c>
      <c r="B100" s="3" t="s">
        <v>809</v>
      </c>
      <c r="C100" s="3" t="s">
        <v>2250</v>
      </c>
      <c r="D100" s="27"/>
      <c r="E100" s="27"/>
      <c r="F100" s="27"/>
    </row>
    <row r="101" customFormat="false" ht="15" hidden="false" customHeight="true" outlineLevel="0" collapsed="false">
      <c r="A101" s="27"/>
      <c r="B101" s="27"/>
      <c r="C101" s="27"/>
      <c r="D101" s="27"/>
      <c r="E101" s="27"/>
      <c r="F101" s="27"/>
    </row>
    <row r="102" customFormat="false" ht="15" hidden="false" customHeight="true" outlineLevel="0" collapsed="false">
      <c r="A102" s="28" t="s">
        <v>2263</v>
      </c>
      <c r="B102" s="28"/>
      <c r="C102" s="28"/>
      <c r="D102" s="28"/>
      <c r="E102" s="28"/>
      <c r="F102" s="28"/>
    </row>
    <row r="103" customFormat="false" ht="15" hidden="false" customHeight="true" outlineLevel="0" collapsed="false">
      <c r="A103" s="29" t="s">
        <v>2264</v>
      </c>
      <c r="B103" s="29" t="s">
        <v>2265</v>
      </c>
      <c r="C103" s="29" t="s">
        <v>2244</v>
      </c>
      <c r="D103" s="27"/>
      <c r="E103" s="27"/>
      <c r="F103" s="27"/>
    </row>
    <row r="104" customFormat="false" ht="15" hidden="false" customHeight="true" outlineLevel="0" collapsed="false">
      <c r="A104" s="3" t="s">
        <v>2266</v>
      </c>
      <c r="B104" s="3" t="s">
        <v>809</v>
      </c>
      <c r="C104" s="3" t="s">
        <v>2250</v>
      </c>
      <c r="D104" s="27"/>
      <c r="E104" s="27"/>
      <c r="F104" s="27"/>
    </row>
    <row r="105" customFormat="false" ht="15" hidden="false" customHeight="true" outlineLevel="0" collapsed="false">
      <c r="A105" s="3" t="s">
        <v>2267</v>
      </c>
      <c r="B105" s="3" t="s">
        <v>809</v>
      </c>
      <c r="C105" s="3" t="s">
        <v>2250</v>
      </c>
      <c r="D105" s="27"/>
      <c r="E105" s="27"/>
      <c r="F105" s="27"/>
    </row>
    <row r="106" customFormat="false" ht="23.25" hidden="false" customHeight="true" outlineLevel="0" collapsed="false">
      <c r="A106" s="3" t="s">
        <v>2268</v>
      </c>
      <c r="B106" s="3" t="s">
        <v>854</v>
      </c>
      <c r="C106" s="3" t="s">
        <v>2246</v>
      </c>
      <c r="D106" s="27"/>
      <c r="E106" s="27"/>
      <c r="F106" s="27"/>
    </row>
    <row r="107" customFormat="false" ht="15" hidden="false" customHeight="true" outlineLevel="0" collapsed="false">
      <c r="A107" s="3" t="s">
        <v>2269</v>
      </c>
      <c r="B107" s="3" t="s">
        <v>809</v>
      </c>
      <c r="C107" s="3" t="s">
        <v>2250</v>
      </c>
      <c r="D107" s="27"/>
      <c r="E107" s="27"/>
      <c r="F107" s="27"/>
    </row>
    <row r="108" customFormat="false" ht="23.25" hidden="false" customHeight="true" outlineLevel="0" collapsed="false">
      <c r="A108" s="3" t="s">
        <v>2270</v>
      </c>
      <c r="B108" s="3" t="s">
        <v>855</v>
      </c>
      <c r="C108" s="3" t="s">
        <v>2246</v>
      </c>
      <c r="D108" s="27"/>
      <c r="E108" s="27"/>
      <c r="F108" s="27"/>
    </row>
    <row r="109" customFormat="false" ht="15" hidden="false" customHeight="true" outlineLevel="0" collapsed="false">
      <c r="A109" s="3" t="s">
        <v>2271</v>
      </c>
      <c r="B109" s="3" t="s">
        <v>856</v>
      </c>
      <c r="C109" s="3" t="s">
        <v>2246</v>
      </c>
      <c r="D109" s="27"/>
      <c r="E109" s="27"/>
      <c r="F109" s="27"/>
    </row>
    <row r="110" customFormat="false" ht="23.25" hidden="false" customHeight="true" outlineLevel="0" collapsed="false">
      <c r="A110" s="3" t="s">
        <v>2272</v>
      </c>
      <c r="B110" s="3" t="s">
        <v>857</v>
      </c>
      <c r="C110" s="3" t="s">
        <v>2246</v>
      </c>
      <c r="D110" s="27"/>
      <c r="E110" s="27"/>
      <c r="F110" s="27"/>
    </row>
    <row r="111" customFormat="false" ht="15" hidden="false" customHeight="true" outlineLevel="0" collapsed="false">
      <c r="A111" s="3" t="s">
        <v>2273</v>
      </c>
      <c r="B111" s="3" t="s">
        <v>858</v>
      </c>
      <c r="C111" s="3" t="s">
        <v>2250</v>
      </c>
      <c r="D111" s="27"/>
      <c r="E111" s="27"/>
      <c r="F111" s="27"/>
    </row>
    <row r="112" customFormat="false" ht="15" hidden="false" customHeight="true" outlineLevel="0" collapsed="false">
      <c r="A112" s="3" t="s">
        <v>2274</v>
      </c>
      <c r="B112" s="3" t="s">
        <v>809</v>
      </c>
      <c r="C112" s="3" t="s">
        <v>2250</v>
      </c>
      <c r="D112" s="27"/>
      <c r="E112" s="27"/>
      <c r="F112" s="27"/>
    </row>
    <row r="113" customFormat="false" ht="15" hidden="false" customHeight="true" outlineLevel="0" collapsed="false">
      <c r="A113" s="3" t="s">
        <v>2275</v>
      </c>
      <c r="B113" s="3" t="s">
        <v>809</v>
      </c>
      <c r="C113" s="3" t="s">
        <v>2250</v>
      </c>
      <c r="D113" s="27"/>
      <c r="E113" s="27"/>
      <c r="F113" s="27"/>
    </row>
    <row r="114" customFormat="false" ht="15" hidden="false" customHeight="true" outlineLevel="0" collapsed="false">
      <c r="A114" s="27"/>
      <c r="B114" s="27"/>
      <c r="C114" s="27"/>
      <c r="D114" s="27"/>
      <c r="E114" s="27"/>
      <c r="F114" s="27"/>
    </row>
    <row r="115" customFormat="false" ht="15" hidden="false" customHeight="true" outlineLevel="0" collapsed="false">
      <c r="A115" s="28" t="s">
        <v>2276</v>
      </c>
      <c r="B115" s="28"/>
      <c r="C115" s="28"/>
      <c r="D115" s="28"/>
      <c r="E115" s="28"/>
      <c r="F115" s="28"/>
    </row>
    <row r="116" customFormat="false" ht="15" hidden="false" customHeight="true" outlineLevel="0" collapsed="false">
      <c r="A116" s="29" t="s">
        <v>2277</v>
      </c>
      <c r="B116" s="29" t="s">
        <v>2278</v>
      </c>
      <c r="C116" s="29" t="s">
        <v>24</v>
      </c>
      <c r="D116" s="27"/>
      <c r="E116" s="27"/>
      <c r="F116" s="27"/>
    </row>
    <row r="117" customFormat="false" ht="15" hidden="false" customHeight="true" outlineLevel="0" collapsed="false">
      <c r="A117" s="3" t="s">
        <v>2279</v>
      </c>
      <c r="B117" s="3" t="s">
        <v>859</v>
      </c>
      <c r="C117" s="3" t="s">
        <v>797</v>
      </c>
      <c r="D117" s="27"/>
      <c r="E117" s="27"/>
      <c r="F117" s="27"/>
    </row>
    <row r="118" customFormat="false" ht="23.25" hidden="false" customHeight="true" outlineLevel="0" collapsed="false">
      <c r="A118" s="3" t="s">
        <v>2280</v>
      </c>
      <c r="B118" s="3" t="s">
        <v>860</v>
      </c>
      <c r="C118" s="3" t="s">
        <v>797</v>
      </c>
      <c r="D118" s="27"/>
      <c r="E118" s="27"/>
      <c r="F118" s="27"/>
    </row>
    <row r="119" customFormat="false" ht="15" hidden="false" customHeight="true" outlineLevel="0" collapsed="false">
      <c r="A119" s="3" t="s">
        <v>2281</v>
      </c>
      <c r="B119" s="3" t="s">
        <v>861</v>
      </c>
      <c r="C119" s="3" t="s">
        <v>797</v>
      </c>
      <c r="D119" s="27"/>
      <c r="E119" s="27"/>
      <c r="F119" s="27"/>
    </row>
    <row r="120" customFormat="false" ht="15" hidden="false" customHeight="true" outlineLevel="0" collapsed="false">
      <c r="A120" s="3" t="s">
        <v>2227</v>
      </c>
      <c r="B120" s="3" t="s">
        <v>862</v>
      </c>
      <c r="C120" s="3" t="s">
        <v>801</v>
      </c>
      <c r="D120" s="27"/>
      <c r="E120" s="27"/>
      <c r="F120" s="27"/>
    </row>
    <row r="121" customFormat="false" ht="23.25" hidden="false" customHeight="true" outlineLevel="0" collapsed="false">
      <c r="A121" s="3" t="s">
        <v>2229</v>
      </c>
      <c r="B121" s="3" t="s">
        <v>863</v>
      </c>
      <c r="C121" s="3" t="s">
        <v>804</v>
      </c>
      <c r="D121" s="27"/>
      <c r="E121" s="27"/>
      <c r="F121" s="27"/>
    </row>
    <row r="122" customFormat="false" ht="15" hidden="false" customHeight="true" outlineLevel="0" collapsed="false">
      <c r="A122" s="3" t="s">
        <v>2230</v>
      </c>
      <c r="B122" s="3" t="s">
        <v>864</v>
      </c>
      <c r="C122" s="3" t="s">
        <v>804</v>
      </c>
      <c r="D122" s="27"/>
      <c r="E122" s="27"/>
      <c r="F122" s="27"/>
    </row>
    <row r="123" customFormat="false" ht="23.25" hidden="false" customHeight="true" outlineLevel="0" collapsed="false">
      <c r="A123" s="3" t="s">
        <v>2282</v>
      </c>
      <c r="B123" s="3" t="s">
        <v>865</v>
      </c>
      <c r="C123" s="3" t="s">
        <v>797</v>
      </c>
      <c r="D123" s="27"/>
      <c r="E123" s="27"/>
      <c r="F123" s="27"/>
    </row>
    <row r="124" customFormat="false" ht="15" hidden="false" customHeight="true" outlineLevel="0" collapsed="false">
      <c r="A124" s="3" t="s">
        <v>2283</v>
      </c>
      <c r="B124" s="3" t="s">
        <v>866</v>
      </c>
      <c r="C124" s="3" t="s">
        <v>746</v>
      </c>
      <c r="D124" s="27"/>
      <c r="E124" s="27"/>
      <c r="F124" s="27"/>
    </row>
    <row r="125" customFormat="false" ht="15" hidden="false" customHeight="true" outlineLevel="0" collapsed="false">
      <c r="A125" s="3" t="s">
        <v>2284</v>
      </c>
      <c r="B125" s="3" t="s">
        <v>809</v>
      </c>
      <c r="C125" s="3" t="s">
        <v>867</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2285</v>
      </c>
      <c r="B127" s="28"/>
      <c r="C127" s="28"/>
      <c r="D127" s="28"/>
      <c r="E127" s="28"/>
      <c r="F127" s="28"/>
    </row>
    <row r="128" customFormat="false" ht="15" hidden="false" customHeight="true" outlineLevel="0" collapsed="false">
      <c r="A128" s="29" t="s">
        <v>1553</v>
      </c>
      <c r="B128" s="29" t="s">
        <v>1554</v>
      </c>
      <c r="C128" s="29" t="s">
        <v>1555</v>
      </c>
      <c r="D128" s="29" t="s">
        <v>1556</v>
      </c>
      <c r="E128" s="29" t="s">
        <v>1557</v>
      </c>
      <c r="F128" s="27"/>
    </row>
    <row r="129" customFormat="false" ht="23.25" hidden="false" customHeight="true" outlineLevel="0" collapsed="false">
      <c r="A129" s="3" t="s">
        <v>1558</v>
      </c>
      <c r="B129" s="23" t="s">
        <v>1579</v>
      </c>
      <c r="C129" s="3" t="s">
        <v>1580</v>
      </c>
      <c r="D129" s="3" t="s">
        <v>1581</v>
      </c>
      <c r="E129" s="3" t="s">
        <v>62</v>
      </c>
      <c r="F129" s="27"/>
    </row>
    <row r="130" customFormat="false" ht="23.25" hidden="false" customHeight="true" outlineLevel="0" collapsed="false">
      <c r="A130" s="3" t="s">
        <v>1558</v>
      </c>
      <c r="B130" s="23" t="s">
        <v>1582</v>
      </c>
      <c r="C130" s="3" t="s">
        <v>1580</v>
      </c>
      <c r="D130" s="3" t="s">
        <v>1583</v>
      </c>
      <c r="E130" s="3" t="s">
        <v>1584</v>
      </c>
      <c r="F130" s="27"/>
    </row>
    <row r="131" customFormat="false" ht="68.25" hidden="false" customHeight="true" outlineLevel="0" collapsed="false">
      <c r="A131" s="3" t="s">
        <v>1563</v>
      </c>
      <c r="B131" s="23" t="s">
        <v>1585</v>
      </c>
      <c r="C131" s="3" t="s">
        <v>1580</v>
      </c>
      <c r="D131" s="3" t="s">
        <v>1586</v>
      </c>
      <c r="E131" s="3" t="s">
        <v>1587</v>
      </c>
      <c r="F131" s="27"/>
    </row>
    <row r="132" customFormat="false" ht="57" hidden="false" customHeight="true" outlineLevel="0" collapsed="false">
      <c r="A132" s="3" t="s">
        <v>1588</v>
      </c>
      <c r="B132" s="3" t="s">
        <v>1589</v>
      </c>
      <c r="C132" s="3" t="s">
        <v>1590</v>
      </c>
      <c r="D132" s="3" t="s">
        <v>1591</v>
      </c>
      <c r="E132" s="3" t="s">
        <v>1592</v>
      </c>
      <c r="F132" s="27"/>
    </row>
    <row r="133" customFormat="false" ht="34.5" hidden="false" customHeight="true" outlineLevel="0" collapsed="false">
      <c r="A133" s="3" t="s">
        <v>1588</v>
      </c>
      <c r="B133" s="3" t="s">
        <v>1593</v>
      </c>
      <c r="C133" s="3" t="s">
        <v>1590</v>
      </c>
      <c r="D133" s="3" t="s">
        <v>1594</v>
      </c>
      <c r="E133" s="3" t="s">
        <v>1595</v>
      </c>
      <c r="F133" s="27"/>
    </row>
    <row r="134" customFormat="false" ht="45.75" hidden="false" customHeight="true" outlineLevel="0" collapsed="false">
      <c r="A134" s="3" t="s">
        <v>1596</v>
      </c>
      <c r="B134" s="3" t="s">
        <v>1597</v>
      </c>
      <c r="C134" s="3" t="s">
        <v>1598</v>
      </c>
      <c r="D134" s="3" t="s">
        <v>1599</v>
      </c>
      <c r="E134" s="3" t="s">
        <v>1600</v>
      </c>
      <c r="F134" s="27"/>
    </row>
    <row r="135" customFormat="false" ht="23.25" hidden="false" customHeight="true" outlineLevel="0" collapsed="false">
      <c r="A135" s="3" t="s">
        <v>1596</v>
      </c>
      <c r="B135" s="3" t="s">
        <v>1601</v>
      </c>
      <c r="C135" s="3" t="s">
        <v>1602</v>
      </c>
      <c r="D135" s="3" t="s">
        <v>1603</v>
      </c>
      <c r="E135" s="3" t="s">
        <v>1604</v>
      </c>
      <c r="F135" s="27"/>
    </row>
    <row r="136" customFormat="false" ht="24.75" hidden="false" customHeight="true" outlineLevel="0" collapsed="false">
      <c r="A136" s="3" t="s">
        <v>1605</v>
      </c>
      <c r="B136" s="23" t="s">
        <v>1606</v>
      </c>
      <c r="C136" s="3" t="s">
        <v>1607</v>
      </c>
      <c r="D136" s="3" t="s">
        <v>1608</v>
      </c>
      <c r="E136" s="3" t="s">
        <v>1609</v>
      </c>
      <c r="F136" s="27"/>
    </row>
    <row r="137" customFormat="false" ht="45.75" hidden="false" customHeight="true" outlineLevel="0" collapsed="false">
      <c r="A137" s="3" t="s">
        <v>1596</v>
      </c>
      <c r="B137" s="3" t="s">
        <v>1610</v>
      </c>
      <c r="C137" s="3" t="s">
        <v>1611</v>
      </c>
      <c r="D137" s="3" t="s">
        <v>1581</v>
      </c>
      <c r="E137" s="3" t="s">
        <v>1612</v>
      </c>
      <c r="F137" s="27"/>
    </row>
    <row r="138" customFormat="false" ht="15" hidden="false" customHeight="true" outlineLevel="0" collapsed="false">
      <c r="A138" s="27"/>
      <c r="B138" s="27"/>
      <c r="C138" s="27"/>
      <c r="D138" s="27"/>
      <c r="E138" s="27"/>
      <c r="F138" s="27"/>
    </row>
    <row r="139" customFormat="false" ht="15" hidden="false" customHeight="true" outlineLevel="0" collapsed="false">
      <c r="A139" s="28" t="s">
        <v>744</v>
      </c>
      <c r="B139" s="28"/>
      <c r="C139" s="28"/>
      <c r="D139" s="28"/>
      <c r="E139" s="28"/>
      <c r="F139" s="28"/>
    </row>
    <row r="140" customFormat="false" ht="15" hidden="false" customHeight="true" outlineLevel="0" collapsed="false">
      <c r="A140" s="29" t="s">
        <v>2265</v>
      </c>
      <c r="B140" s="30" t="s">
        <v>868</v>
      </c>
      <c r="C140" s="30"/>
      <c r="D140" s="30"/>
      <c r="E140" s="30"/>
      <c r="F140"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9:F139"/>
    <mergeCell ref="B140:F1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2290</v>
      </c>
    </row>
    <row r="2" customFormat="false" ht="34.5" hidden="false" customHeight="true" outlineLevel="0" collapsed="false">
      <c r="A2" s="26" t="s">
        <v>870</v>
      </c>
      <c r="B2" s="27"/>
      <c r="C2" s="27"/>
      <c r="D2" s="27"/>
      <c r="E2" s="27"/>
      <c r="F2" s="27"/>
    </row>
    <row r="3" customFormat="false" ht="23.25" hidden="false" customHeight="true" outlineLevel="0" collapsed="false">
      <c r="A3" s="4" t="s">
        <v>869</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814</v>
      </c>
      <c r="C7" s="30"/>
      <c r="D7" s="30"/>
      <c r="E7" s="30"/>
      <c r="F7" s="30"/>
    </row>
    <row r="8" customFormat="false" ht="15" hidden="false" customHeight="true" outlineLevel="0" collapsed="false">
      <c r="A8" s="29" t="s">
        <v>2156</v>
      </c>
      <c r="B8" s="30" t="s">
        <v>56</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4.75" hidden="false" customHeight="true" outlineLevel="0" collapsed="false">
      <c r="A12" s="29" t="s">
        <v>2160</v>
      </c>
      <c r="B12" s="30" t="s">
        <v>2169</v>
      </c>
      <c r="C12" s="30"/>
      <c r="D12" s="30"/>
      <c r="E12" s="30"/>
      <c r="F12" s="30"/>
    </row>
    <row r="13" customFormat="false" ht="50.25" hidden="false" customHeight="true" outlineLevel="0" collapsed="false">
      <c r="A13" s="29" t="s">
        <v>2161</v>
      </c>
      <c r="B13" s="30" t="s">
        <v>2170</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65</v>
      </c>
      <c r="C16" s="30"/>
      <c r="D16" s="30"/>
      <c r="E16" s="30"/>
      <c r="F16" s="30"/>
    </row>
    <row r="17" customFormat="false" ht="15" hidden="false" customHeight="true" outlineLevel="0" collapsed="false">
      <c r="A17" s="29" t="s">
        <v>627</v>
      </c>
      <c r="B17" s="30" t="s">
        <v>814</v>
      </c>
      <c r="C17" s="30"/>
      <c r="D17" s="30"/>
      <c r="E17" s="30"/>
      <c r="F17" s="30"/>
    </row>
    <row r="18" customFormat="false" ht="15" hidden="false" customHeight="true" outlineLevel="0" collapsed="false">
      <c r="A18" s="29" t="s">
        <v>628</v>
      </c>
      <c r="B18" s="31" t="s">
        <v>871</v>
      </c>
      <c r="C18" s="31"/>
      <c r="D18" s="31"/>
      <c r="E18" s="31"/>
      <c r="F18" s="31"/>
    </row>
    <row r="19" customFormat="false" ht="15" hidden="false" customHeight="true" outlineLevel="0" collapsed="false">
      <c r="A19" s="29" t="s">
        <v>629</v>
      </c>
      <c r="B19" s="30" t="s">
        <v>816</v>
      </c>
      <c r="C19" s="30"/>
      <c r="D19" s="30"/>
      <c r="E19" s="30"/>
      <c r="F19" s="30"/>
    </row>
    <row r="20" customFormat="false" ht="15" hidden="false" customHeight="true" outlineLevel="0" collapsed="false">
      <c r="A20" s="29" t="s">
        <v>630</v>
      </c>
      <c r="B20" s="30" t="s">
        <v>72</v>
      </c>
      <c r="C20" s="30"/>
      <c r="D20" s="30"/>
      <c r="E20" s="30"/>
      <c r="F20" s="30"/>
    </row>
    <row r="21" customFormat="false" ht="15" hidden="false" customHeight="true" outlineLevel="0" collapsed="false">
      <c r="A21" s="29" t="s">
        <v>631</v>
      </c>
      <c r="B21" s="30" t="s">
        <v>818</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67</v>
      </c>
      <c r="C25" s="31"/>
      <c r="D25" s="31"/>
      <c r="E25" s="31"/>
      <c r="F25" s="31"/>
    </row>
    <row r="26" customFormat="false" ht="15" hidden="false" customHeight="true" outlineLevel="0" collapsed="false">
      <c r="A26" s="29" t="s">
        <v>635</v>
      </c>
      <c r="B26" s="30" t="s">
        <v>66</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872</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873</v>
      </c>
      <c r="C31" s="30"/>
      <c r="D31" s="30"/>
      <c r="E31" s="30"/>
      <c r="F31" s="30"/>
    </row>
    <row r="32" customFormat="false" ht="15" hidden="false" customHeight="true" outlineLevel="0" collapsed="false">
      <c r="A32" s="29" t="s">
        <v>641</v>
      </c>
      <c r="B32" s="30" t="s">
        <v>874</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875</v>
      </c>
      <c r="C36" s="30"/>
      <c r="D36" s="30"/>
      <c r="E36" s="30"/>
      <c r="F36" s="30"/>
    </row>
    <row r="37" customFormat="false" ht="15" hidden="false" customHeight="true" outlineLevel="0" collapsed="false">
      <c r="A37" s="29" t="s">
        <v>644</v>
      </c>
      <c r="B37" s="31" t="s">
        <v>876</v>
      </c>
      <c r="C37" s="31"/>
      <c r="D37" s="31"/>
      <c r="E37" s="31"/>
      <c r="F37" s="31"/>
    </row>
    <row r="38" customFormat="false" ht="15" hidden="false" customHeight="true" outlineLevel="0" collapsed="false">
      <c r="A38" s="29" t="s">
        <v>645</v>
      </c>
      <c r="B38" s="30" t="s">
        <v>877</v>
      </c>
      <c r="C38" s="30"/>
      <c r="D38" s="30"/>
      <c r="E38" s="30"/>
      <c r="F38" s="30"/>
    </row>
    <row r="39" customFormat="false" ht="15" hidden="false" customHeight="true" outlineLevel="0" collapsed="false">
      <c r="A39" s="29" t="s">
        <v>646</v>
      </c>
      <c r="B39" s="30" t="s">
        <v>878</v>
      </c>
      <c r="C39" s="30"/>
      <c r="D39" s="30"/>
      <c r="E39" s="30"/>
      <c r="F39" s="30"/>
    </row>
    <row r="40" customFormat="false" ht="15" hidden="false" customHeight="true" outlineLevel="0" collapsed="false">
      <c r="A40" s="29" t="s">
        <v>647</v>
      </c>
      <c r="B40" s="30" t="s">
        <v>879</v>
      </c>
      <c r="C40" s="30"/>
      <c r="D40" s="30"/>
      <c r="E40" s="30"/>
      <c r="F40" s="30"/>
    </row>
    <row r="41" customFormat="false" ht="15" hidden="false" customHeight="true" outlineLevel="0" collapsed="false">
      <c r="A41" s="29" t="s">
        <v>648</v>
      </c>
      <c r="B41" s="30" t="s">
        <v>880</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881</v>
      </c>
      <c r="C44" s="30"/>
      <c r="D44" s="30"/>
      <c r="E44" s="30"/>
      <c r="F44" s="30"/>
    </row>
    <row r="45" customFormat="false" ht="15" hidden="false" customHeight="true" outlineLevel="0" collapsed="false">
      <c r="A45" s="29" t="s">
        <v>652</v>
      </c>
      <c r="B45" s="30" t="s">
        <v>882</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773</v>
      </c>
      <c r="C47" s="30"/>
      <c r="D47" s="30"/>
      <c r="E47" s="30"/>
      <c r="F47" s="30"/>
    </row>
    <row r="48" customFormat="false" ht="23.25" hidden="false" customHeight="true" outlineLevel="0" collapsed="false">
      <c r="A48" s="29" t="s">
        <v>655</v>
      </c>
      <c r="B48" s="30" t="s">
        <v>772</v>
      </c>
      <c r="C48" s="30"/>
      <c r="D48" s="30"/>
      <c r="E48" s="30"/>
      <c r="F48" s="30"/>
    </row>
    <row r="49" customFormat="false" ht="15" hidden="false" customHeight="true" outlineLevel="0" collapsed="false">
      <c r="A49" s="29" t="s">
        <v>656</v>
      </c>
      <c r="B49" s="30" t="s">
        <v>883</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884</v>
      </c>
      <c r="C52" s="30"/>
      <c r="D52" s="30"/>
      <c r="E52" s="30"/>
      <c r="F52" s="30"/>
    </row>
    <row r="53" customFormat="false" ht="15" hidden="false" customHeight="true" outlineLevel="0" collapsed="false">
      <c r="A53" s="29" t="s">
        <v>658</v>
      </c>
      <c r="B53" s="30" t="s">
        <v>885</v>
      </c>
      <c r="C53" s="30"/>
      <c r="D53" s="30"/>
      <c r="E53" s="30"/>
      <c r="F53" s="30"/>
    </row>
    <row r="54" customFormat="false" ht="15" hidden="false" customHeight="true" outlineLevel="0" collapsed="false">
      <c r="A54" s="29" t="s">
        <v>659</v>
      </c>
      <c r="B54" s="30" t="s">
        <v>886</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2291</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7"/>
      <c r="E62" s="27"/>
      <c r="F62" s="27"/>
    </row>
    <row r="63" customFormat="false" ht="34.5" hidden="false" customHeight="true" outlineLevel="0" collapsed="false">
      <c r="A63" s="3" t="s">
        <v>1355</v>
      </c>
      <c r="B63" s="3" t="s">
        <v>59</v>
      </c>
      <c r="C63" s="3" t="s">
        <v>1393</v>
      </c>
      <c r="D63" s="27"/>
      <c r="E63" s="27"/>
      <c r="F63" s="27"/>
    </row>
    <row r="64" customFormat="false" ht="15" hidden="false" customHeight="true" outlineLevel="0" collapsed="false">
      <c r="A64" s="3" t="s">
        <v>1356</v>
      </c>
      <c r="B64" s="3" t="s">
        <v>60</v>
      </c>
      <c r="C64" s="3" t="s">
        <v>128</v>
      </c>
      <c r="D64" s="27"/>
      <c r="E64" s="27"/>
      <c r="F64" s="27"/>
    </row>
    <row r="65" customFormat="false" ht="37.5" hidden="false" customHeight="true" outlineLevel="0" collapsed="false">
      <c r="A65" s="3" t="s">
        <v>1357</v>
      </c>
      <c r="B65" s="3" t="s">
        <v>1386</v>
      </c>
      <c r="C65" s="3" t="s">
        <v>1394</v>
      </c>
      <c r="D65" s="27"/>
      <c r="E65" s="27"/>
      <c r="F65" s="27"/>
    </row>
    <row r="66" customFormat="false" ht="15" hidden="false" customHeight="true" outlineLevel="0" collapsed="false">
      <c r="A66" s="3" t="s">
        <v>1358</v>
      </c>
      <c r="B66" s="3" t="s">
        <v>1387</v>
      </c>
      <c r="C66" s="3" t="s">
        <v>1395</v>
      </c>
      <c r="D66" s="27"/>
      <c r="E66" s="27"/>
      <c r="F66" s="27"/>
    </row>
    <row r="67" customFormat="false" ht="15" hidden="false" customHeight="true" outlineLevel="0" collapsed="false">
      <c r="A67" s="3" t="s">
        <v>1359</v>
      </c>
      <c r="B67" s="3" t="s">
        <v>1388</v>
      </c>
      <c r="C67" s="3" t="s">
        <v>1396</v>
      </c>
      <c r="D67" s="27"/>
      <c r="E67" s="27"/>
      <c r="F67" s="27"/>
    </row>
    <row r="68" customFormat="false" ht="48.75" hidden="false" customHeight="true" outlineLevel="0" collapsed="false">
      <c r="A68" s="3" t="s">
        <v>1360</v>
      </c>
      <c r="B68" s="3" t="s">
        <v>1389</v>
      </c>
      <c r="C68" s="3" t="s">
        <v>1397</v>
      </c>
      <c r="D68" s="27"/>
      <c r="E68" s="27"/>
      <c r="F68" s="27"/>
    </row>
    <row r="69" customFormat="false" ht="45.75" hidden="false" customHeight="true" outlineLevel="0" collapsed="false">
      <c r="A69" s="3" t="s">
        <v>1361</v>
      </c>
      <c r="B69" s="3" t="s">
        <v>1390</v>
      </c>
      <c r="C69" s="3" t="s">
        <v>1398</v>
      </c>
      <c r="D69" s="27"/>
      <c r="E69" s="27"/>
      <c r="F69" s="27"/>
    </row>
    <row r="70" customFormat="false" ht="84" hidden="false" customHeight="true" outlineLevel="0" collapsed="false">
      <c r="A70" s="3" t="s">
        <v>1362</v>
      </c>
      <c r="B70" s="3" t="s">
        <v>1391</v>
      </c>
      <c r="C70" s="3" t="s">
        <v>1399</v>
      </c>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888</v>
      </c>
      <c r="C74" s="30"/>
      <c r="D74" s="30"/>
      <c r="E74" s="30"/>
      <c r="F74" s="30"/>
    </row>
    <row r="75" customFormat="false" ht="15" hidden="false" customHeight="true" outlineLevel="0" collapsed="false">
      <c r="A75" s="29" t="s">
        <v>1359</v>
      </c>
      <c r="B75" s="30" t="s">
        <v>889</v>
      </c>
      <c r="C75" s="30"/>
      <c r="D75" s="30"/>
      <c r="E75" s="30"/>
      <c r="F75" s="30"/>
    </row>
    <row r="76" customFormat="false" ht="23.25" hidden="false" customHeight="true" outlineLevel="0" collapsed="false">
      <c r="A76" s="29" t="s">
        <v>2239</v>
      </c>
      <c r="B76" s="30" t="s">
        <v>890</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57" hidden="false" customHeight="true" outlineLevel="0" collapsed="false">
      <c r="A79" s="29" t="s">
        <v>669</v>
      </c>
      <c r="B79" s="30" t="s">
        <v>891</v>
      </c>
      <c r="C79" s="30"/>
      <c r="D79" s="30"/>
      <c r="E79" s="30"/>
      <c r="F79" s="30"/>
    </row>
    <row r="80" customFormat="false" ht="34.5" hidden="false" customHeight="true" outlineLevel="0" collapsed="false">
      <c r="A80" s="29" t="s">
        <v>670</v>
      </c>
      <c r="B80" s="30" t="s">
        <v>892</v>
      </c>
      <c r="C80" s="30"/>
      <c r="D80" s="30"/>
      <c r="E80" s="30"/>
      <c r="F80" s="30"/>
    </row>
    <row r="81" customFormat="false" ht="57" hidden="false" customHeight="true" outlineLevel="0" collapsed="false">
      <c r="A81" s="29" t="s">
        <v>671</v>
      </c>
      <c r="B81" s="30" t="s">
        <v>893</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34.5" hidden="false" customHeight="true" outlineLevel="0" collapsed="false">
      <c r="A85" s="3" t="s">
        <v>2245</v>
      </c>
      <c r="B85" s="3" t="s">
        <v>894</v>
      </c>
      <c r="C85" s="3" t="s">
        <v>2246</v>
      </c>
      <c r="D85" s="27"/>
      <c r="E85" s="27"/>
      <c r="F85" s="27"/>
    </row>
    <row r="86" customFormat="false" ht="34.5" hidden="false" customHeight="true" outlineLevel="0" collapsed="false">
      <c r="A86" s="3" t="s">
        <v>2289</v>
      </c>
      <c r="B86" s="3" t="s">
        <v>895</v>
      </c>
      <c r="C86" s="3" t="s">
        <v>2250</v>
      </c>
      <c r="D86" s="27"/>
      <c r="E86" s="27"/>
      <c r="F86" s="27"/>
    </row>
    <row r="87" customFormat="false" ht="23.25" hidden="false" customHeight="true" outlineLevel="0" collapsed="false">
      <c r="A87" s="3" t="s">
        <v>2248</v>
      </c>
      <c r="B87" s="3" t="s">
        <v>896</v>
      </c>
      <c r="C87" s="3" t="s">
        <v>2250</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34.5" hidden="false" customHeight="true" outlineLevel="0" collapsed="false">
      <c r="A92" s="3" t="s">
        <v>2254</v>
      </c>
      <c r="B92" s="3" t="s">
        <v>897</v>
      </c>
      <c r="C92" s="3" t="s">
        <v>2246</v>
      </c>
      <c r="D92" s="27"/>
      <c r="E92" s="27"/>
      <c r="F92" s="27"/>
    </row>
    <row r="93" customFormat="false" ht="15" hidden="false" customHeight="true" outlineLevel="0" collapsed="false">
      <c r="A93" s="3" t="s">
        <v>2255</v>
      </c>
      <c r="B93" s="3" t="s">
        <v>898</v>
      </c>
      <c r="C93" s="3" t="s">
        <v>2250</v>
      </c>
      <c r="D93" s="27"/>
      <c r="E93" s="27"/>
      <c r="F93" s="27"/>
    </row>
    <row r="94" customFormat="false" ht="15" hidden="false" customHeight="true" outlineLevel="0" collapsed="false">
      <c r="A94" s="3" t="s">
        <v>2256</v>
      </c>
      <c r="B94" s="3" t="s">
        <v>809</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15" hidden="false" customHeight="true" outlineLevel="0" collapsed="false">
      <c r="A96" s="3" t="s">
        <v>2258</v>
      </c>
      <c r="B96" s="3" t="s">
        <v>809</v>
      </c>
      <c r="C96" s="3" t="s">
        <v>2250</v>
      </c>
      <c r="D96" s="27"/>
      <c r="E96" s="27"/>
      <c r="F96" s="27"/>
    </row>
    <row r="97" customFormat="false" ht="15" hidden="false" customHeight="true" outlineLevel="0" collapsed="false">
      <c r="A97" s="3" t="s">
        <v>2259</v>
      </c>
      <c r="B97" s="3" t="s">
        <v>809</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15" hidden="false" customHeight="true" outlineLevel="0" collapsed="false">
      <c r="A99" s="3" t="s">
        <v>2261</v>
      </c>
      <c r="B99" s="3" t="s">
        <v>809</v>
      </c>
      <c r="C99" s="3" t="s">
        <v>2250</v>
      </c>
      <c r="D99" s="27"/>
      <c r="E99" s="27"/>
      <c r="F99" s="27"/>
    </row>
    <row r="100" customFormat="false" ht="15" hidden="false" customHeight="true" outlineLevel="0" collapsed="false">
      <c r="A100" s="3" t="s">
        <v>2262</v>
      </c>
      <c r="B100" s="3" t="s">
        <v>809</v>
      </c>
      <c r="C100" s="3" t="s">
        <v>2250</v>
      </c>
      <c r="D100" s="27"/>
      <c r="E100" s="27"/>
      <c r="F100" s="27"/>
    </row>
    <row r="101" customFormat="false" ht="15" hidden="false" customHeight="true" outlineLevel="0" collapsed="false">
      <c r="A101" s="27"/>
      <c r="B101" s="27"/>
      <c r="C101" s="27"/>
      <c r="D101" s="27"/>
      <c r="E101" s="27"/>
      <c r="F101" s="27"/>
    </row>
    <row r="102" customFormat="false" ht="15" hidden="false" customHeight="true" outlineLevel="0" collapsed="false">
      <c r="A102" s="28" t="s">
        <v>2263</v>
      </c>
      <c r="B102" s="28"/>
      <c r="C102" s="28"/>
      <c r="D102" s="28"/>
      <c r="E102" s="28"/>
      <c r="F102" s="28"/>
    </row>
    <row r="103" customFormat="false" ht="15" hidden="false" customHeight="true" outlineLevel="0" collapsed="false">
      <c r="A103" s="29" t="s">
        <v>2264</v>
      </c>
      <c r="B103" s="29" t="s">
        <v>2265</v>
      </c>
      <c r="C103" s="29" t="s">
        <v>2244</v>
      </c>
      <c r="D103" s="27"/>
      <c r="E103" s="27"/>
      <c r="F103" s="27"/>
    </row>
    <row r="104" customFormat="false" ht="15" hidden="false" customHeight="true" outlineLevel="0" collapsed="false">
      <c r="A104" s="3" t="s">
        <v>2266</v>
      </c>
      <c r="B104" s="3" t="s">
        <v>809</v>
      </c>
      <c r="C104" s="3" t="s">
        <v>2250</v>
      </c>
      <c r="D104" s="27"/>
      <c r="E104" s="27"/>
      <c r="F104" s="27"/>
    </row>
    <row r="105" customFormat="false" ht="15" hidden="false" customHeight="true" outlineLevel="0" collapsed="false">
      <c r="A105" s="3" t="s">
        <v>2267</v>
      </c>
      <c r="B105" s="3" t="s">
        <v>809</v>
      </c>
      <c r="C105" s="3" t="s">
        <v>2250</v>
      </c>
      <c r="D105" s="27"/>
      <c r="E105" s="27"/>
      <c r="F105" s="27"/>
    </row>
    <row r="106" customFormat="false" ht="15" hidden="false" customHeight="true" outlineLevel="0" collapsed="false">
      <c r="A106" s="3" t="s">
        <v>2268</v>
      </c>
      <c r="B106" s="3" t="s">
        <v>899</v>
      </c>
      <c r="C106" s="3" t="s">
        <v>2246</v>
      </c>
      <c r="D106" s="27"/>
      <c r="E106" s="27"/>
      <c r="F106" s="27"/>
    </row>
    <row r="107" customFormat="false" ht="15" hidden="false" customHeight="true" outlineLevel="0" collapsed="false">
      <c r="A107" s="3" t="s">
        <v>2269</v>
      </c>
      <c r="B107" s="3" t="s">
        <v>809</v>
      </c>
      <c r="C107" s="3" t="s">
        <v>2250</v>
      </c>
      <c r="D107" s="27"/>
      <c r="E107" s="27"/>
      <c r="F107" s="27"/>
    </row>
    <row r="108" customFormat="false" ht="15" hidden="false" customHeight="true" outlineLevel="0" collapsed="false">
      <c r="A108" s="3" t="s">
        <v>2270</v>
      </c>
      <c r="B108" s="3" t="s">
        <v>809</v>
      </c>
      <c r="C108" s="3" t="s">
        <v>2250</v>
      </c>
      <c r="D108" s="27"/>
      <c r="E108" s="27"/>
      <c r="F108" s="27"/>
    </row>
    <row r="109" customFormat="false" ht="15" hidden="false" customHeight="true" outlineLevel="0" collapsed="false">
      <c r="A109" s="3" t="s">
        <v>2271</v>
      </c>
      <c r="B109" s="3" t="s">
        <v>809</v>
      </c>
      <c r="C109" s="3" t="s">
        <v>2250</v>
      </c>
      <c r="D109" s="27"/>
      <c r="E109" s="27"/>
      <c r="F109" s="27"/>
    </row>
    <row r="110" customFormat="false" ht="23.25" hidden="false" customHeight="true" outlineLevel="0" collapsed="false">
      <c r="A110" s="3" t="s">
        <v>2272</v>
      </c>
      <c r="B110" s="3" t="s">
        <v>900</v>
      </c>
      <c r="C110" s="3" t="s">
        <v>2246</v>
      </c>
      <c r="D110" s="27"/>
      <c r="E110" s="27"/>
      <c r="F110" s="27"/>
    </row>
    <row r="111" customFormat="false" ht="15" hidden="false" customHeight="true" outlineLevel="0" collapsed="false">
      <c r="A111" s="3" t="s">
        <v>2273</v>
      </c>
      <c r="B111" s="3" t="s">
        <v>858</v>
      </c>
      <c r="C111" s="3" t="s">
        <v>2250</v>
      </c>
      <c r="D111" s="27"/>
      <c r="E111" s="27"/>
      <c r="F111" s="27"/>
    </row>
    <row r="112" customFormat="false" ht="15" hidden="false" customHeight="true" outlineLevel="0" collapsed="false">
      <c r="A112" s="3" t="s">
        <v>2274</v>
      </c>
      <c r="B112" s="3" t="s">
        <v>901</v>
      </c>
      <c r="C112" s="3" t="s">
        <v>2250</v>
      </c>
      <c r="D112" s="27"/>
      <c r="E112" s="27"/>
      <c r="F112" s="27"/>
    </row>
    <row r="113" customFormat="false" ht="15" hidden="false" customHeight="true" outlineLevel="0" collapsed="false">
      <c r="A113" s="3" t="s">
        <v>2275</v>
      </c>
      <c r="B113" s="3" t="s">
        <v>809</v>
      </c>
      <c r="C113" s="3" t="s">
        <v>2250</v>
      </c>
      <c r="D113" s="27"/>
      <c r="E113" s="27"/>
      <c r="F113" s="27"/>
    </row>
    <row r="114" customFormat="false" ht="15" hidden="false" customHeight="true" outlineLevel="0" collapsed="false">
      <c r="A114" s="27"/>
      <c r="B114" s="27"/>
      <c r="C114" s="27"/>
      <c r="D114" s="27"/>
      <c r="E114" s="27"/>
      <c r="F114" s="27"/>
    </row>
    <row r="115" customFormat="false" ht="15" hidden="false" customHeight="true" outlineLevel="0" collapsed="false">
      <c r="A115" s="28" t="s">
        <v>2276</v>
      </c>
      <c r="B115" s="28"/>
      <c r="C115" s="28"/>
      <c r="D115" s="28"/>
      <c r="E115" s="28"/>
      <c r="F115" s="28"/>
    </row>
    <row r="116" customFormat="false" ht="15" hidden="false" customHeight="true" outlineLevel="0" collapsed="false">
      <c r="A116" s="29" t="s">
        <v>2277</v>
      </c>
      <c r="B116" s="29" t="s">
        <v>2278</v>
      </c>
      <c r="C116" s="29" t="s">
        <v>24</v>
      </c>
      <c r="D116" s="27"/>
      <c r="E116" s="27"/>
      <c r="F116" s="27"/>
    </row>
    <row r="117" customFormat="false" ht="15" hidden="false" customHeight="true" outlineLevel="0" collapsed="false">
      <c r="A117" s="3" t="s">
        <v>2279</v>
      </c>
      <c r="B117" s="3" t="s">
        <v>902</v>
      </c>
      <c r="C117" s="3" t="s">
        <v>797</v>
      </c>
      <c r="D117" s="27"/>
      <c r="E117" s="27"/>
      <c r="F117" s="27"/>
    </row>
    <row r="118" customFormat="false" ht="15" hidden="false" customHeight="true" outlineLevel="0" collapsed="false">
      <c r="A118" s="3" t="s">
        <v>2280</v>
      </c>
      <c r="B118" s="3" t="s">
        <v>903</v>
      </c>
      <c r="C118" s="3" t="s">
        <v>797</v>
      </c>
      <c r="D118" s="27"/>
      <c r="E118" s="27"/>
      <c r="F118" s="27"/>
    </row>
    <row r="119" customFormat="false" ht="15" hidden="false" customHeight="true" outlineLevel="0" collapsed="false">
      <c r="A119" s="3" t="s">
        <v>2281</v>
      </c>
      <c r="B119" s="3" t="s">
        <v>904</v>
      </c>
      <c r="C119" s="3" t="s">
        <v>797</v>
      </c>
      <c r="D119" s="27"/>
      <c r="E119" s="27"/>
      <c r="F119" s="27"/>
    </row>
    <row r="120" customFormat="false" ht="15" hidden="false" customHeight="true" outlineLevel="0" collapsed="false">
      <c r="A120" s="3" t="s">
        <v>2227</v>
      </c>
      <c r="B120" s="3" t="s">
        <v>862</v>
      </c>
      <c r="C120" s="3" t="s">
        <v>801</v>
      </c>
      <c r="D120" s="27"/>
      <c r="E120" s="27"/>
      <c r="F120" s="27"/>
    </row>
    <row r="121" customFormat="false" ht="23.25" hidden="false" customHeight="true" outlineLevel="0" collapsed="false">
      <c r="A121" s="3" t="s">
        <v>2229</v>
      </c>
      <c r="B121" s="3" t="s">
        <v>905</v>
      </c>
      <c r="C121" s="3" t="s">
        <v>801</v>
      </c>
      <c r="D121" s="27"/>
      <c r="E121" s="27"/>
      <c r="F121" s="27"/>
    </row>
    <row r="122" customFormat="false" ht="15" hidden="false" customHeight="true" outlineLevel="0" collapsed="false">
      <c r="A122" s="3" t="s">
        <v>2230</v>
      </c>
      <c r="B122" s="3" t="s">
        <v>809</v>
      </c>
      <c r="C122" s="3" t="s">
        <v>804</v>
      </c>
      <c r="D122" s="27"/>
      <c r="E122" s="27"/>
      <c r="F122" s="27"/>
    </row>
    <row r="123" customFormat="false" ht="23.25" hidden="false" customHeight="true" outlineLevel="0" collapsed="false">
      <c r="A123" s="3" t="s">
        <v>2282</v>
      </c>
      <c r="B123" s="3" t="s">
        <v>906</v>
      </c>
      <c r="C123" s="3" t="s">
        <v>797</v>
      </c>
      <c r="D123" s="27"/>
      <c r="E123" s="27"/>
      <c r="F123" s="27"/>
    </row>
    <row r="124" customFormat="false" ht="15" hidden="false" customHeight="true" outlineLevel="0" collapsed="false">
      <c r="A124" s="3" t="s">
        <v>2283</v>
      </c>
      <c r="B124" s="3" t="s">
        <v>807</v>
      </c>
      <c r="C124" s="3" t="s">
        <v>746</v>
      </c>
      <c r="D124" s="27"/>
      <c r="E124" s="27"/>
      <c r="F124" s="27"/>
    </row>
    <row r="125" customFormat="false" ht="15" hidden="false" customHeight="true" outlineLevel="0" collapsed="false">
      <c r="A125" s="3" t="s">
        <v>2284</v>
      </c>
      <c r="B125" s="3" t="s">
        <v>809</v>
      </c>
      <c r="C125" s="3" t="s">
        <v>867</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2285</v>
      </c>
      <c r="B127" s="28"/>
      <c r="C127" s="28"/>
      <c r="D127" s="28"/>
      <c r="E127" s="28"/>
      <c r="F127" s="28"/>
    </row>
    <row r="128" customFormat="false" ht="15" hidden="false" customHeight="true" outlineLevel="0" collapsed="false">
      <c r="A128" s="29" t="s">
        <v>1553</v>
      </c>
      <c r="B128" s="29" t="s">
        <v>1554</v>
      </c>
      <c r="C128" s="29" t="s">
        <v>1555</v>
      </c>
      <c r="D128" s="29" t="s">
        <v>1556</v>
      </c>
      <c r="E128" s="29" t="s">
        <v>1557</v>
      </c>
      <c r="F128" s="27"/>
    </row>
    <row r="129" customFormat="false" ht="23.25" hidden="false" customHeight="true" outlineLevel="0" collapsed="false">
      <c r="A129" s="3" t="s">
        <v>1558</v>
      </c>
      <c r="B129" s="23" t="s">
        <v>1613</v>
      </c>
      <c r="C129" s="3" t="s">
        <v>1614</v>
      </c>
      <c r="D129" s="3" t="s">
        <v>1615</v>
      </c>
      <c r="E129" s="3" t="s">
        <v>71</v>
      </c>
      <c r="F129" s="27"/>
    </row>
    <row r="130" customFormat="false" ht="24.75" hidden="false" customHeight="true" outlineLevel="0" collapsed="false">
      <c r="A130" s="3" t="s">
        <v>1616</v>
      </c>
      <c r="B130" s="23" t="s">
        <v>1617</v>
      </c>
      <c r="C130" s="3" t="s">
        <v>1618</v>
      </c>
      <c r="D130" s="3" t="s">
        <v>1619</v>
      </c>
      <c r="E130" s="3" t="s">
        <v>1620</v>
      </c>
      <c r="F130" s="27"/>
    </row>
    <row r="131" customFormat="false" ht="24.75" hidden="false" customHeight="true" outlineLevel="0" collapsed="false">
      <c r="A131" s="3" t="s">
        <v>1621</v>
      </c>
      <c r="B131" s="23" t="s">
        <v>1622</v>
      </c>
      <c r="C131" s="3" t="s">
        <v>1623</v>
      </c>
      <c r="D131" s="3" t="s">
        <v>1624</v>
      </c>
      <c r="E131" s="3" t="s">
        <v>1625</v>
      </c>
      <c r="F131" s="27"/>
    </row>
    <row r="132" customFormat="false" ht="24.75" hidden="false" customHeight="true" outlineLevel="0" collapsed="false">
      <c r="A132" s="3" t="s">
        <v>1626</v>
      </c>
      <c r="B132" s="23" t="s">
        <v>1627</v>
      </c>
      <c r="C132" s="3" t="s">
        <v>1628</v>
      </c>
      <c r="D132" s="3" t="s">
        <v>1629</v>
      </c>
      <c r="E132" s="3" t="s">
        <v>1630</v>
      </c>
      <c r="F132" s="27"/>
    </row>
    <row r="133" customFormat="false" ht="90.75" hidden="false" customHeight="true" outlineLevel="0" collapsed="false">
      <c r="A133" s="3" t="s">
        <v>1588</v>
      </c>
      <c r="B133" s="3" t="s">
        <v>1631</v>
      </c>
      <c r="C133" s="3" t="s">
        <v>1590</v>
      </c>
      <c r="D133" s="3" t="s">
        <v>1632</v>
      </c>
      <c r="E133" s="3" t="s">
        <v>1633</v>
      </c>
      <c r="F133" s="27"/>
    </row>
    <row r="134" customFormat="false" ht="15" hidden="false" customHeight="true" outlineLevel="0" collapsed="false">
      <c r="A134" s="3" t="s">
        <v>1596</v>
      </c>
      <c r="B134" s="3" t="s">
        <v>1634</v>
      </c>
      <c r="C134" s="3" t="s">
        <v>1635</v>
      </c>
      <c r="D134" s="3" t="s">
        <v>1636</v>
      </c>
      <c r="E134" s="3" t="s">
        <v>1637</v>
      </c>
      <c r="F134" s="27"/>
    </row>
    <row r="135" customFormat="false" ht="23.25" hidden="false" customHeight="true" outlineLevel="0" collapsed="false">
      <c r="A135" s="3" t="s">
        <v>1596</v>
      </c>
      <c r="B135" s="3" t="s">
        <v>1638</v>
      </c>
      <c r="C135" s="3" t="s">
        <v>1639</v>
      </c>
      <c r="D135" s="3" t="s">
        <v>1640</v>
      </c>
      <c r="E135" s="3" t="s">
        <v>1641</v>
      </c>
      <c r="F135" s="27"/>
    </row>
    <row r="136" customFormat="false" ht="23.25" hidden="false" customHeight="true" outlineLevel="0" collapsed="false">
      <c r="A136" s="3" t="s">
        <v>1596</v>
      </c>
      <c r="B136" s="3" t="s">
        <v>1642</v>
      </c>
      <c r="C136" s="3" t="s">
        <v>1643</v>
      </c>
      <c r="D136" s="3" t="s">
        <v>1644</v>
      </c>
      <c r="E136" s="3" t="s">
        <v>1645</v>
      </c>
      <c r="F136" s="27"/>
    </row>
    <row r="137" customFormat="false" ht="15" hidden="false" customHeight="true" outlineLevel="0" collapsed="false">
      <c r="A137" s="27"/>
      <c r="B137" s="27"/>
      <c r="C137" s="27"/>
      <c r="D137" s="27"/>
      <c r="E137" s="27"/>
      <c r="F137" s="27"/>
    </row>
    <row r="138" customFormat="false" ht="15" hidden="false" customHeight="true" outlineLevel="0" collapsed="false">
      <c r="A138" s="28" t="s">
        <v>744</v>
      </c>
      <c r="B138" s="28"/>
      <c r="C138" s="28"/>
      <c r="D138" s="28"/>
      <c r="E138" s="28"/>
      <c r="F138" s="28"/>
    </row>
    <row r="139" customFormat="false" ht="15" hidden="false" customHeight="true" outlineLevel="0" collapsed="false">
      <c r="A139" s="29" t="s">
        <v>2265</v>
      </c>
      <c r="B139" s="30" t="s">
        <v>868</v>
      </c>
      <c r="C139" s="30"/>
      <c r="D139" s="30"/>
      <c r="E139" s="30"/>
      <c r="F139"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8:F138"/>
    <mergeCell ref="B139:F1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2292</v>
      </c>
    </row>
    <row r="2" customFormat="false" ht="45.75" hidden="false" customHeight="true" outlineLevel="0" collapsed="false">
      <c r="A2" s="26" t="s">
        <v>908</v>
      </c>
      <c r="B2" s="27"/>
      <c r="C2" s="27"/>
      <c r="D2" s="27"/>
      <c r="E2" s="27"/>
      <c r="F2" s="27"/>
    </row>
    <row r="3" customFormat="false" ht="23.25" hidden="false" customHeight="true" outlineLevel="0" collapsed="false">
      <c r="A3" s="4" t="s">
        <v>907</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909</v>
      </c>
      <c r="C7" s="30"/>
      <c r="D7" s="30"/>
      <c r="E7" s="30"/>
      <c r="F7" s="30"/>
    </row>
    <row r="8" customFormat="false" ht="15" hidden="false" customHeight="true" outlineLevel="0" collapsed="false">
      <c r="A8" s="29" t="s">
        <v>2156</v>
      </c>
      <c r="B8" s="30" t="s">
        <v>77</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4.75" hidden="false" customHeight="true" outlineLevel="0" collapsed="false">
      <c r="A12" s="29" t="s">
        <v>2160</v>
      </c>
      <c r="B12" s="30" t="s">
        <v>2171</v>
      </c>
      <c r="C12" s="30"/>
      <c r="D12" s="30"/>
      <c r="E12" s="30"/>
      <c r="F12" s="30"/>
    </row>
    <row r="13" customFormat="false" ht="26.25" hidden="false" customHeight="true" outlineLevel="0" collapsed="false">
      <c r="A13" s="29" t="s">
        <v>2161</v>
      </c>
      <c r="B13" s="30" t="s">
        <v>2172</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74</v>
      </c>
      <c r="C16" s="30"/>
      <c r="D16" s="30"/>
      <c r="E16" s="30"/>
      <c r="F16" s="30"/>
    </row>
    <row r="17" customFormat="false" ht="15" hidden="false" customHeight="true" outlineLevel="0" collapsed="false">
      <c r="A17" s="29" t="s">
        <v>627</v>
      </c>
      <c r="B17" s="30" t="s">
        <v>909</v>
      </c>
      <c r="C17" s="30"/>
      <c r="D17" s="30"/>
      <c r="E17" s="30"/>
      <c r="F17" s="30"/>
    </row>
    <row r="18" customFormat="false" ht="15" hidden="false" customHeight="true" outlineLevel="0" collapsed="false">
      <c r="A18" s="29" t="s">
        <v>628</v>
      </c>
      <c r="B18" s="31" t="s">
        <v>910</v>
      </c>
      <c r="C18" s="31"/>
      <c r="D18" s="31"/>
      <c r="E18" s="31"/>
      <c r="F18" s="31"/>
    </row>
    <row r="19" customFormat="false" ht="15" hidden="false" customHeight="true" outlineLevel="0" collapsed="false">
      <c r="A19" s="29" t="s">
        <v>629</v>
      </c>
      <c r="B19" s="30" t="s">
        <v>911</v>
      </c>
      <c r="C19" s="30"/>
      <c r="D19" s="30"/>
      <c r="E19" s="30"/>
      <c r="F19" s="30"/>
    </row>
    <row r="20" customFormat="false" ht="15" hidden="false" customHeight="true" outlineLevel="0" collapsed="false">
      <c r="A20" s="29" t="s">
        <v>630</v>
      </c>
      <c r="B20" s="30" t="s">
        <v>912</v>
      </c>
      <c r="C20" s="30"/>
      <c r="D20" s="30"/>
      <c r="E20" s="30"/>
      <c r="F20" s="30"/>
    </row>
    <row r="21" customFormat="false" ht="15" hidden="false" customHeight="true" outlineLevel="0" collapsed="false">
      <c r="A21" s="29" t="s">
        <v>631</v>
      </c>
      <c r="B21" s="30" t="s">
        <v>818</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76</v>
      </c>
      <c r="C25" s="31"/>
      <c r="D25" s="31"/>
      <c r="E25" s="31"/>
      <c r="F25" s="31"/>
    </row>
    <row r="26" customFormat="false" ht="15" hidden="false" customHeight="true" outlineLevel="0" collapsed="false">
      <c r="A26" s="29" t="s">
        <v>635</v>
      </c>
      <c r="B26" s="30" t="s">
        <v>75</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913</v>
      </c>
      <c r="C28" s="30"/>
      <c r="D28" s="30"/>
      <c r="E28" s="30"/>
      <c r="F28" s="30"/>
    </row>
    <row r="29" customFormat="false" ht="15" hidden="false" customHeight="true" outlineLevel="0" collapsed="false">
      <c r="A29" s="29" t="s">
        <v>638</v>
      </c>
      <c r="B29" s="30" t="s">
        <v>758</v>
      </c>
      <c r="C29" s="30"/>
      <c r="D29" s="30"/>
      <c r="E29" s="30"/>
      <c r="F29" s="30"/>
    </row>
    <row r="30" customFormat="false" ht="15" hidden="false" customHeight="true" outlineLevel="0" collapsed="false">
      <c r="A30" s="29" t="s">
        <v>639</v>
      </c>
      <c r="B30" s="30" t="s">
        <v>914</v>
      </c>
      <c r="C30" s="30"/>
      <c r="D30" s="30"/>
      <c r="E30" s="30"/>
      <c r="F30" s="30"/>
    </row>
    <row r="31" customFormat="false" ht="15" hidden="false" customHeight="true" outlineLevel="0" collapsed="false">
      <c r="A31" s="29" t="s">
        <v>640</v>
      </c>
      <c r="B31" s="30" t="s">
        <v>915</v>
      </c>
      <c r="C31" s="30"/>
      <c r="D31" s="30"/>
      <c r="E31" s="30"/>
      <c r="F31" s="30"/>
    </row>
    <row r="32" customFormat="false" ht="15" hidden="false" customHeight="true" outlineLevel="0" collapsed="false">
      <c r="A32" s="29" t="s">
        <v>641</v>
      </c>
      <c r="B32" s="30" t="s">
        <v>916</v>
      </c>
      <c r="C32" s="30"/>
      <c r="D32" s="30"/>
      <c r="E32" s="30"/>
      <c r="F32" s="30"/>
    </row>
    <row r="33" customFormat="false" ht="15" hidden="false" customHeight="true" outlineLevel="0" collapsed="false">
      <c r="A33" s="29" t="s">
        <v>642</v>
      </c>
      <c r="B33" s="30" t="s">
        <v>917</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918</v>
      </c>
      <c r="C36" s="30"/>
      <c r="D36" s="30"/>
      <c r="E36" s="30"/>
      <c r="F36" s="30"/>
    </row>
    <row r="37" customFormat="false" ht="15" hidden="false" customHeight="true" outlineLevel="0" collapsed="false">
      <c r="A37" s="29" t="s">
        <v>644</v>
      </c>
      <c r="B37" s="31" t="s">
        <v>919</v>
      </c>
      <c r="C37" s="31"/>
      <c r="D37" s="31"/>
      <c r="E37" s="31"/>
      <c r="F37" s="31"/>
    </row>
    <row r="38" customFormat="false" ht="15" hidden="false" customHeight="true" outlineLevel="0" collapsed="false">
      <c r="A38" s="29" t="s">
        <v>645</v>
      </c>
      <c r="B38" s="30" t="s">
        <v>920</v>
      </c>
      <c r="C38" s="30"/>
      <c r="D38" s="30"/>
      <c r="E38" s="30"/>
      <c r="F38" s="30"/>
    </row>
    <row r="39" customFormat="false" ht="15" hidden="false" customHeight="true" outlineLevel="0" collapsed="false">
      <c r="A39" s="29" t="s">
        <v>646</v>
      </c>
      <c r="B39" s="30" t="s">
        <v>921</v>
      </c>
      <c r="C39" s="30"/>
      <c r="D39" s="30"/>
      <c r="E39" s="30"/>
      <c r="F39" s="30"/>
    </row>
    <row r="40" customFormat="false" ht="15" hidden="false" customHeight="true" outlineLevel="0" collapsed="false">
      <c r="A40" s="29" t="s">
        <v>647</v>
      </c>
      <c r="B40" s="30" t="s">
        <v>922</v>
      </c>
      <c r="C40" s="30"/>
      <c r="D40" s="30"/>
      <c r="E40" s="30"/>
      <c r="F40" s="30"/>
    </row>
    <row r="41" customFormat="false" ht="15" hidden="false" customHeight="true" outlineLevel="0" collapsed="false">
      <c r="A41" s="29" t="s">
        <v>648</v>
      </c>
      <c r="B41" s="30" t="s">
        <v>923</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881</v>
      </c>
      <c r="C44" s="30"/>
      <c r="D44" s="30"/>
      <c r="E44" s="30"/>
      <c r="F44" s="30"/>
    </row>
    <row r="45" customFormat="false" ht="15" hidden="false" customHeight="true" outlineLevel="0" collapsed="false">
      <c r="A45" s="29" t="s">
        <v>652</v>
      </c>
      <c r="B45" s="30" t="s">
        <v>924</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925</v>
      </c>
      <c r="C47" s="30"/>
      <c r="D47" s="30"/>
      <c r="E47" s="30"/>
      <c r="F47" s="30"/>
    </row>
    <row r="48" customFormat="false" ht="23.25" hidden="false" customHeight="true" outlineLevel="0" collapsed="false">
      <c r="A48" s="29" t="s">
        <v>655</v>
      </c>
      <c r="B48" s="30" t="s">
        <v>772</v>
      </c>
      <c r="C48" s="30"/>
      <c r="D48" s="30"/>
      <c r="E48" s="30"/>
      <c r="F48" s="30"/>
    </row>
    <row r="49" customFormat="false" ht="15" hidden="false" customHeight="true" outlineLevel="0" collapsed="false">
      <c r="A49" s="29" t="s">
        <v>656</v>
      </c>
      <c r="B49" s="30" t="s">
        <v>926</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927</v>
      </c>
      <c r="C52" s="30"/>
      <c r="D52" s="30"/>
      <c r="E52" s="30"/>
      <c r="F52" s="30"/>
    </row>
    <row r="53" customFormat="false" ht="15" hidden="false" customHeight="true" outlineLevel="0" collapsed="false">
      <c r="A53" s="29" t="s">
        <v>658</v>
      </c>
      <c r="B53" s="30" t="s">
        <v>928</v>
      </c>
      <c r="C53" s="30"/>
      <c r="D53" s="30"/>
      <c r="E53" s="30"/>
      <c r="F53" s="30"/>
    </row>
    <row r="54" customFormat="false" ht="15" hidden="false" customHeight="true" outlineLevel="0" collapsed="false">
      <c r="A54" s="29" t="s">
        <v>659</v>
      </c>
      <c r="B54" s="30" t="s">
        <v>929</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2291</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7"/>
      <c r="E62" s="27"/>
      <c r="F62" s="27"/>
    </row>
    <row r="63" customFormat="false" ht="24.75" hidden="false" customHeight="true" outlineLevel="0" collapsed="false">
      <c r="A63" s="3" t="s">
        <v>1355</v>
      </c>
      <c r="B63" s="3" t="s">
        <v>1401</v>
      </c>
      <c r="C63" s="3" t="s">
        <v>59</v>
      </c>
      <c r="D63" s="27"/>
      <c r="E63" s="27"/>
      <c r="F63" s="27"/>
    </row>
    <row r="64" customFormat="false" ht="15" hidden="false" customHeight="true" outlineLevel="0" collapsed="false">
      <c r="A64" s="3" t="s">
        <v>1356</v>
      </c>
      <c r="B64" s="3" t="s">
        <v>128</v>
      </c>
      <c r="C64" s="3" t="s">
        <v>60</v>
      </c>
      <c r="D64" s="27"/>
      <c r="E64" s="27"/>
      <c r="F64" s="27"/>
    </row>
    <row r="65" customFormat="false" ht="26.25" hidden="false" customHeight="true" outlineLevel="0" collapsed="false">
      <c r="A65" s="3" t="s">
        <v>1357</v>
      </c>
      <c r="B65" s="3" t="s">
        <v>1402</v>
      </c>
      <c r="C65" s="3" t="s">
        <v>1409</v>
      </c>
      <c r="D65" s="27"/>
      <c r="E65" s="27"/>
      <c r="F65" s="27"/>
    </row>
    <row r="66" customFormat="false" ht="15" hidden="false" customHeight="true" outlineLevel="0" collapsed="false">
      <c r="A66" s="3" t="s">
        <v>1358</v>
      </c>
      <c r="B66" s="3" t="s">
        <v>1403</v>
      </c>
      <c r="C66" s="3" t="s">
        <v>1410</v>
      </c>
      <c r="D66" s="27"/>
      <c r="E66" s="27"/>
      <c r="F66" s="27"/>
    </row>
    <row r="67" customFormat="false" ht="37.5" hidden="false" customHeight="true" outlineLevel="0" collapsed="false">
      <c r="A67" s="3" t="s">
        <v>1359</v>
      </c>
      <c r="B67" s="3" t="s">
        <v>1404</v>
      </c>
      <c r="C67" s="3" t="s">
        <v>1411</v>
      </c>
      <c r="D67" s="27"/>
      <c r="E67" s="27"/>
      <c r="F67" s="27"/>
    </row>
    <row r="68" customFormat="false" ht="47.25" hidden="false" customHeight="true" outlineLevel="0" collapsed="false">
      <c r="A68" s="3" t="s">
        <v>1360</v>
      </c>
      <c r="B68" s="3" t="s">
        <v>1405</v>
      </c>
      <c r="C68" s="3" t="s">
        <v>1412</v>
      </c>
      <c r="D68" s="27"/>
      <c r="E68" s="27"/>
      <c r="F68" s="27"/>
    </row>
    <row r="69" customFormat="false" ht="24.75" hidden="false" customHeight="true" outlineLevel="0" collapsed="false">
      <c r="A69" s="3" t="s">
        <v>1361</v>
      </c>
      <c r="B69" s="3" t="s">
        <v>1406</v>
      </c>
      <c r="C69" s="3" t="s">
        <v>1413</v>
      </c>
      <c r="D69" s="27"/>
      <c r="E69" s="27"/>
      <c r="F69" s="27"/>
    </row>
    <row r="70" customFormat="false" ht="68.25" hidden="false" customHeight="true" outlineLevel="0" collapsed="false">
      <c r="A70" s="3" t="s">
        <v>1362</v>
      </c>
      <c r="B70" s="3" t="s">
        <v>1407</v>
      </c>
      <c r="C70" s="3" t="s">
        <v>1414</v>
      </c>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931</v>
      </c>
      <c r="C74" s="30"/>
      <c r="D74" s="30"/>
      <c r="E74" s="30"/>
      <c r="F74" s="30"/>
    </row>
    <row r="75" customFormat="false" ht="15" hidden="false" customHeight="true" outlineLevel="0" collapsed="false">
      <c r="A75" s="29" t="s">
        <v>1359</v>
      </c>
      <c r="B75" s="30" t="s">
        <v>932</v>
      </c>
      <c r="C75" s="30"/>
      <c r="D75" s="30"/>
      <c r="E75" s="30"/>
      <c r="F75" s="30"/>
    </row>
    <row r="76" customFormat="false" ht="23.25" hidden="false" customHeight="true" outlineLevel="0" collapsed="false">
      <c r="A76" s="29" t="s">
        <v>2239</v>
      </c>
      <c r="B76" s="30" t="s">
        <v>933</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68.25" hidden="false" customHeight="true" outlineLevel="0" collapsed="false">
      <c r="A79" s="29" t="s">
        <v>669</v>
      </c>
      <c r="B79" s="30" t="s">
        <v>934</v>
      </c>
      <c r="C79" s="30"/>
      <c r="D79" s="30"/>
      <c r="E79" s="30"/>
      <c r="F79" s="30"/>
    </row>
    <row r="80" customFormat="false" ht="71.25" hidden="false" customHeight="true" outlineLevel="0" collapsed="false">
      <c r="A80" s="29" t="s">
        <v>670</v>
      </c>
      <c r="B80" s="30" t="s">
        <v>935</v>
      </c>
      <c r="C80" s="30"/>
      <c r="D80" s="30"/>
      <c r="E80" s="30"/>
      <c r="F80" s="30"/>
    </row>
    <row r="81" customFormat="false" ht="45.75" hidden="false" customHeight="true" outlineLevel="0" collapsed="false">
      <c r="A81" s="29" t="s">
        <v>671</v>
      </c>
      <c r="B81" s="30" t="s">
        <v>936</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34.5" hidden="false" customHeight="true" outlineLevel="0" collapsed="false">
      <c r="A85" s="3" t="s">
        <v>2245</v>
      </c>
      <c r="B85" s="3" t="s">
        <v>937</v>
      </c>
      <c r="C85" s="3" t="s">
        <v>2246</v>
      </c>
      <c r="D85" s="27"/>
      <c r="E85" s="27"/>
      <c r="F85" s="27"/>
    </row>
    <row r="86" customFormat="false" ht="57" hidden="false" customHeight="true" outlineLevel="0" collapsed="false">
      <c r="A86" s="3" t="s">
        <v>2289</v>
      </c>
      <c r="B86" s="3" t="s">
        <v>938</v>
      </c>
      <c r="C86" s="3" t="s">
        <v>2246</v>
      </c>
      <c r="D86" s="27"/>
      <c r="E86" s="27"/>
      <c r="F86" s="27"/>
    </row>
    <row r="87" customFormat="false" ht="34.5" hidden="false" customHeight="true" outlineLevel="0" collapsed="false">
      <c r="A87" s="3" t="s">
        <v>2248</v>
      </c>
      <c r="B87" s="3" t="s">
        <v>939</v>
      </c>
      <c r="C87" s="3" t="s">
        <v>2246</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23.25" hidden="false" customHeight="true" outlineLevel="0" collapsed="false">
      <c r="A92" s="3" t="s">
        <v>2254</v>
      </c>
      <c r="B92" s="3" t="s">
        <v>940</v>
      </c>
      <c r="C92" s="3" t="s">
        <v>2250</v>
      </c>
      <c r="D92" s="27"/>
      <c r="E92" s="27"/>
      <c r="F92" s="27"/>
    </row>
    <row r="93" customFormat="false" ht="23.25" hidden="false" customHeight="true" outlineLevel="0" collapsed="false">
      <c r="A93" s="3" t="s">
        <v>2255</v>
      </c>
      <c r="B93" s="3" t="s">
        <v>941</v>
      </c>
      <c r="C93" s="3" t="s">
        <v>2246</v>
      </c>
      <c r="D93" s="27"/>
      <c r="E93" s="27"/>
      <c r="F93" s="27"/>
    </row>
    <row r="94" customFormat="false" ht="15" hidden="false" customHeight="true" outlineLevel="0" collapsed="false">
      <c r="A94" s="3" t="s">
        <v>2256</v>
      </c>
      <c r="B94" s="3" t="s">
        <v>809</v>
      </c>
      <c r="C94" s="3" t="s">
        <v>2250</v>
      </c>
      <c r="D94" s="27"/>
      <c r="E94" s="27"/>
      <c r="F94" s="27"/>
    </row>
    <row r="95" customFormat="false" ht="23.25" hidden="false" customHeight="true" outlineLevel="0" collapsed="false">
      <c r="A95" s="3" t="s">
        <v>2257</v>
      </c>
      <c r="B95" s="3" t="s">
        <v>942</v>
      </c>
      <c r="C95" s="3" t="s">
        <v>2246</v>
      </c>
      <c r="D95" s="27"/>
      <c r="E95" s="27"/>
      <c r="F95" s="27"/>
    </row>
    <row r="96" customFormat="false" ht="15" hidden="false" customHeight="true" outlineLevel="0" collapsed="false">
      <c r="A96" s="3" t="s">
        <v>2258</v>
      </c>
      <c r="B96" s="3" t="s">
        <v>809</v>
      </c>
      <c r="C96" s="3" t="s">
        <v>2250</v>
      </c>
      <c r="D96" s="27"/>
      <c r="E96" s="27"/>
      <c r="F96" s="27"/>
    </row>
    <row r="97" customFormat="false" ht="15" hidden="false" customHeight="true" outlineLevel="0" collapsed="false">
      <c r="A97" s="3" t="s">
        <v>2259</v>
      </c>
      <c r="B97" s="3" t="s">
        <v>809</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26.25" hidden="false" customHeight="true" outlineLevel="0" collapsed="false">
      <c r="A99" s="3" t="s">
        <v>2261</v>
      </c>
      <c r="B99" s="3" t="s">
        <v>943</v>
      </c>
      <c r="C99" s="3" t="s">
        <v>2246</v>
      </c>
      <c r="D99" s="27"/>
      <c r="E99" s="27"/>
      <c r="F99" s="27"/>
    </row>
    <row r="100" customFormat="false" ht="15" hidden="false" customHeight="true" outlineLevel="0" collapsed="false">
      <c r="A100" s="3" t="s">
        <v>2262</v>
      </c>
      <c r="B100" s="3" t="s">
        <v>809</v>
      </c>
      <c r="C100" s="3" t="s">
        <v>2250</v>
      </c>
      <c r="D100" s="27"/>
      <c r="E100" s="27"/>
      <c r="F100" s="27"/>
    </row>
    <row r="101" customFormat="false" ht="15" hidden="false" customHeight="true" outlineLevel="0" collapsed="false">
      <c r="A101" s="27"/>
      <c r="B101" s="27"/>
      <c r="C101" s="27"/>
      <c r="D101" s="27"/>
      <c r="E101" s="27"/>
      <c r="F101" s="27"/>
    </row>
    <row r="102" customFormat="false" ht="15" hidden="false" customHeight="true" outlineLevel="0" collapsed="false">
      <c r="A102" s="28" t="s">
        <v>2263</v>
      </c>
      <c r="B102" s="28"/>
      <c r="C102" s="28"/>
      <c r="D102" s="28"/>
      <c r="E102" s="28"/>
      <c r="F102" s="28"/>
    </row>
    <row r="103" customFormat="false" ht="15" hidden="false" customHeight="true" outlineLevel="0" collapsed="false">
      <c r="A103" s="29" t="s">
        <v>2264</v>
      </c>
      <c r="B103" s="29" t="s">
        <v>2265</v>
      </c>
      <c r="C103" s="29" t="s">
        <v>2244</v>
      </c>
      <c r="D103" s="27"/>
      <c r="E103" s="27"/>
      <c r="F103" s="27"/>
    </row>
    <row r="104" customFormat="false" ht="15" hidden="false" customHeight="true" outlineLevel="0" collapsed="false">
      <c r="A104" s="3" t="s">
        <v>2266</v>
      </c>
      <c r="B104" s="3" t="s">
        <v>944</v>
      </c>
      <c r="C104" s="3" t="s">
        <v>2250</v>
      </c>
      <c r="D104" s="27"/>
      <c r="E104" s="27"/>
      <c r="F104" s="27"/>
    </row>
    <row r="105" customFormat="false" ht="23.25" hidden="false" customHeight="true" outlineLevel="0" collapsed="false">
      <c r="A105" s="3" t="s">
        <v>2267</v>
      </c>
      <c r="B105" s="3" t="s">
        <v>945</v>
      </c>
      <c r="C105" s="3" t="s">
        <v>2246</v>
      </c>
      <c r="D105" s="27"/>
      <c r="E105" s="27"/>
      <c r="F105" s="27"/>
    </row>
    <row r="106" customFormat="false" ht="23.25" hidden="false" customHeight="true" outlineLevel="0" collapsed="false">
      <c r="A106" s="3" t="s">
        <v>2268</v>
      </c>
      <c r="B106" s="3" t="s">
        <v>946</v>
      </c>
      <c r="C106" s="3" t="s">
        <v>2246</v>
      </c>
      <c r="D106" s="27"/>
      <c r="E106" s="27"/>
      <c r="F106" s="27"/>
    </row>
    <row r="107" customFormat="false" ht="15" hidden="false" customHeight="true" outlineLevel="0" collapsed="false">
      <c r="A107" s="3" t="s">
        <v>2269</v>
      </c>
      <c r="B107" s="3" t="s">
        <v>809</v>
      </c>
      <c r="C107" s="3" t="s">
        <v>2250</v>
      </c>
      <c r="D107" s="27"/>
      <c r="E107" s="27"/>
      <c r="F107" s="27"/>
    </row>
    <row r="108" customFormat="false" ht="15" hidden="false" customHeight="true" outlineLevel="0" collapsed="false">
      <c r="A108" s="3" t="s">
        <v>2270</v>
      </c>
      <c r="B108" s="3" t="s">
        <v>809</v>
      </c>
      <c r="C108" s="3" t="s">
        <v>2250</v>
      </c>
      <c r="D108" s="27"/>
      <c r="E108" s="27"/>
      <c r="F108" s="27"/>
    </row>
    <row r="109" customFormat="false" ht="15" hidden="false" customHeight="true" outlineLevel="0" collapsed="false">
      <c r="A109" s="3" t="s">
        <v>2271</v>
      </c>
      <c r="B109" s="3" t="s">
        <v>947</v>
      </c>
      <c r="C109" s="3" t="s">
        <v>2246</v>
      </c>
      <c r="D109" s="27"/>
      <c r="E109" s="27"/>
      <c r="F109" s="27"/>
    </row>
    <row r="110" customFormat="false" ht="23.25" hidden="false" customHeight="true" outlineLevel="0" collapsed="false">
      <c r="A110" s="3" t="s">
        <v>2272</v>
      </c>
      <c r="B110" s="3" t="s">
        <v>809</v>
      </c>
      <c r="C110" s="3" t="s">
        <v>2250</v>
      </c>
      <c r="D110" s="27"/>
      <c r="E110" s="27"/>
      <c r="F110" s="27"/>
    </row>
    <row r="111" customFormat="false" ht="15" hidden="false" customHeight="true" outlineLevel="0" collapsed="false">
      <c r="A111" s="3" t="s">
        <v>2273</v>
      </c>
      <c r="B111" s="3" t="s">
        <v>858</v>
      </c>
      <c r="C111" s="3" t="s">
        <v>2250</v>
      </c>
      <c r="D111" s="27"/>
      <c r="E111" s="27"/>
      <c r="F111" s="27"/>
    </row>
    <row r="112" customFormat="false" ht="23.25" hidden="false" customHeight="true" outlineLevel="0" collapsed="false">
      <c r="A112" s="3" t="s">
        <v>2274</v>
      </c>
      <c r="B112" s="3" t="s">
        <v>948</v>
      </c>
      <c r="C112" s="3" t="s">
        <v>2246</v>
      </c>
      <c r="D112" s="27"/>
      <c r="E112" s="27"/>
      <c r="F112" s="27"/>
    </row>
    <row r="113" customFormat="false" ht="15" hidden="false" customHeight="true" outlineLevel="0" collapsed="false">
      <c r="A113" s="3" t="s">
        <v>2275</v>
      </c>
      <c r="B113" s="3" t="s">
        <v>809</v>
      </c>
      <c r="C113" s="3" t="s">
        <v>2250</v>
      </c>
      <c r="D113" s="27"/>
      <c r="E113" s="27"/>
      <c r="F113" s="27"/>
    </row>
    <row r="114" customFormat="false" ht="15" hidden="false" customHeight="true" outlineLevel="0" collapsed="false">
      <c r="A114" s="27"/>
      <c r="B114" s="27"/>
      <c r="C114" s="27"/>
      <c r="D114" s="27"/>
      <c r="E114" s="27"/>
      <c r="F114" s="27"/>
    </row>
    <row r="115" customFormat="false" ht="15" hidden="false" customHeight="true" outlineLevel="0" collapsed="false">
      <c r="A115" s="28" t="s">
        <v>2276</v>
      </c>
      <c r="B115" s="28"/>
      <c r="C115" s="28"/>
      <c r="D115" s="28"/>
      <c r="E115" s="28"/>
      <c r="F115" s="28"/>
    </row>
    <row r="116" customFormat="false" ht="15" hidden="false" customHeight="true" outlineLevel="0" collapsed="false">
      <c r="A116" s="29" t="s">
        <v>2277</v>
      </c>
      <c r="B116" s="29" t="s">
        <v>2278</v>
      </c>
      <c r="C116" s="29" t="s">
        <v>24</v>
      </c>
      <c r="D116" s="27"/>
      <c r="E116" s="27"/>
      <c r="F116" s="27"/>
    </row>
    <row r="117" customFormat="false" ht="15" hidden="false" customHeight="true" outlineLevel="0" collapsed="false">
      <c r="A117" s="3" t="s">
        <v>2279</v>
      </c>
      <c r="B117" s="3" t="s">
        <v>949</v>
      </c>
      <c r="C117" s="3" t="s">
        <v>797</v>
      </c>
      <c r="D117" s="27"/>
      <c r="E117" s="27"/>
      <c r="F117" s="27"/>
    </row>
    <row r="118" customFormat="false" ht="23.25" hidden="false" customHeight="true" outlineLevel="0" collapsed="false">
      <c r="A118" s="3" t="s">
        <v>2280</v>
      </c>
      <c r="B118" s="3" t="s">
        <v>950</v>
      </c>
      <c r="C118" s="3" t="s">
        <v>797</v>
      </c>
      <c r="D118" s="27"/>
      <c r="E118" s="27"/>
      <c r="F118" s="27"/>
    </row>
    <row r="119" customFormat="false" ht="15" hidden="false" customHeight="true" outlineLevel="0" collapsed="false">
      <c r="A119" s="3" t="s">
        <v>2281</v>
      </c>
      <c r="B119" s="3" t="s">
        <v>951</v>
      </c>
      <c r="C119" s="3" t="s">
        <v>797</v>
      </c>
      <c r="D119" s="27"/>
      <c r="E119" s="27"/>
      <c r="F119" s="27"/>
    </row>
    <row r="120" customFormat="false" ht="15" hidden="false" customHeight="true" outlineLevel="0" collapsed="false">
      <c r="A120" s="3" t="s">
        <v>2227</v>
      </c>
      <c r="B120" s="3" t="s">
        <v>862</v>
      </c>
      <c r="C120" s="3" t="s">
        <v>801</v>
      </c>
      <c r="D120" s="27"/>
      <c r="E120" s="27"/>
      <c r="F120" s="27"/>
    </row>
    <row r="121" customFormat="false" ht="23.25" hidden="false" customHeight="true" outlineLevel="0" collapsed="false">
      <c r="A121" s="3" t="s">
        <v>2229</v>
      </c>
      <c r="B121" s="3" t="s">
        <v>952</v>
      </c>
      <c r="C121" s="3" t="s">
        <v>801</v>
      </c>
      <c r="D121" s="27"/>
      <c r="E121" s="27"/>
      <c r="F121" s="27"/>
    </row>
    <row r="122" customFormat="false" ht="15" hidden="false" customHeight="true" outlineLevel="0" collapsed="false">
      <c r="A122" s="3" t="s">
        <v>2230</v>
      </c>
      <c r="B122" s="3" t="s">
        <v>809</v>
      </c>
      <c r="C122" s="3" t="s">
        <v>804</v>
      </c>
      <c r="D122" s="27"/>
      <c r="E122" s="27"/>
      <c r="F122" s="27"/>
    </row>
    <row r="123" customFormat="false" ht="23.25" hidden="false" customHeight="true" outlineLevel="0" collapsed="false">
      <c r="A123" s="3" t="s">
        <v>2282</v>
      </c>
      <c r="B123" s="3" t="s">
        <v>953</v>
      </c>
      <c r="C123" s="3" t="s">
        <v>797</v>
      </c>
      <c r="D123" s="27"/>
      <c r="E123" s="27"/>
      <c r="F123" s="27"/>
    </row>
    <row r="124" customFormat="false" ht="15" hidden="false" customHeight="true" outlineLevel="0" collapsed="false">
      <c r="A124" s="3" t="s">
        <v>2283</v>
      </c>
      <c r="B124" s="3" t="s">
        <v>807</v>
      </c>
      <c r="C124" s="3" t="s">
        <v>746</v>
      </c>
      <c r="D124" s="27"/>
      <c r="E124" s="27"/>
      <c r="F124" s="27"/>
    </row>
    <row r="125" customFormat="false" ht="15" hidden="false" customHeight="true" outlineLevel="0" collapsed="false">
      <c r="A125" s="3" t="s">
        <v>2284</v>
      </c>
      <c r="B125" s="3" t="s">
        <v>809</v>
      </c>
      <c r="C125" s="3" t="s">
        <v>867</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2285</v>
      </c>
      <c r="B127" s="28"/>
      <c r="C127" s="28"/>
      <c r="D127" s="28"/>
      <c r="E127" s="28"/>
      <c r="F127" s="28"/>
    </row>
    <row r="128" customFormat="false" ht="15" hidden="false" customHeight="true" outlineLevel="0" collapsed="false">
      <c r="A128" s="29" t="s">
        <v>1553</v>
      </c>
      <c r="B128" s="29" t="s">
        <v>1554</v>
      </c>
      <c r="C128" s="29" t="s">
        <v>1555</v>
      </c>
      <c r="D128" s="29" t="s">
        <v>1556</v>
      </c>
      <c r="E128" s="29" t="s">
        <v>1557</v>
      </c>
      <c r="F128" s="27"/>
    </row>
    <row r="129" customFormat="false" ht="26.25" hidden="false" customHeight="true" outlineLevel="0" collapsed="false">
      <c r="A129" s="3" t="s">
        <v>1558</v>
      </c>
      <c r="B129" s="23" t="s">
        <v>1646</v>
      </c>
      <c r="C129" s="3" t="s">
        <v>1647</v>
      </c>
      <c r="D129" s="3" t="s">
        <v>1648</v>
      </c>
      <c r="E129" s="3" t="s">
        <v>1649</v>
      </c>
      <c r="F129" s="27"/>
    </row>
    <row r="130" customFormat="false" ht="45.75" hidden="false" customHeight="true" outlineLevel="0" collapsed="false">
      <c r="A130" s="3" t="s">
        <v>1558</v>
      </c>
      <c r="B130" s="23" t="s">
        <v>1650</v>
      </c>
      <c r="C130" s="3" t="s">
        <v>1651</v>
      </c>
      <c r="D130" s="3" t="s">
        <v>1652</v>
      </c>
      <c r="E130" s="3" t="s">
        <v>1653</v>
      </c>
      <c r="F130" s="27"/>
    </row>
    <row r="131" customFormat="false" ht="23.25" hidden="false" customHeight="true" outlineLevel="0" collapsed="false">
      <c r="A131" s="3" t="s">
        <v>1563</v>
      </c>
      <c r="B131" s="23" t="s">
        <v>1654</v>
      </c>
      <c r="C131" s="3" t="s">
        <v>1647</v>
      </c>
      <c r="D131" s="3" t="s">
        <v>1655</v>
      </c>
      <c r="E131" s="3" t="s">
        <v>1656</v>
      </c>
      <c r="F131" s="27"/>
    </row>
    <row r="132" customFormat="false" ht="23.25" hidden="false" customHeight="true" outlineLevel="0" collapsed="false">
      <c r="A132" s="3" t="s">
        <v>1616</v>
      </c>
      <c r="B132" s="23" t="s">
        <v>1657</v>
      </c>
      <c r="C132" s="3" t="s">
        <v>1658</v>
      </c>
      <c r="D132" s="3" t="s">
        <v>1659</v>
      </c>
      <c r="E132" s="3" t="s">
        <v>81</v>
      </c>
      <c r="F132" s="27"/>
    </row>
    <row r="133" customFormat="false" ht="23.25" hidden="false" customHeight="true" outlineLevel="0" collapsed="false">
      <c r="A133" s="3" t="s">
        <v>1616</v>
      </c>
      <c r="B133" s="23" t="s">
        <v>1660</v>
      </c>
      <c r="C133" s="3" t="s">
        <v>1658</v>
      </c>
      <c r="D133" s="3" t="s">
        <v>1661</v>
      </c>
      <c r="E133" s="3" t="s">
        <v>1662</v>
      </c>
      <c r="F133" s="27"/>
    </row>
    <row r="134" customFormat="false" ht="34.5" hidden="false" customHeight="true" outlineLevel="0" collapsed="false">
      <c r="A134" s="3" t="s">
        <v>1616</v>
      </c>
      <c r="B134" s="23" t="s">
        <v>1663</v>
      </c>
      <c r="C134" s="3" t="s">
        <v>1658</v>
      </c>
      <c r="D134" s="3" t="s">
        <v>1664</v>
      </c>
      <c r="E134" s="3" t="s">
        <v>1665</v>
      </c>
      <c r="F134" s="27"/>
    </row>
    <row r="135" customFormat="false" ht="23.25" hidden="false" customHeight="true" outlineLevel="0" collapsed="false">
      <c r="A135" s="3" t="s">
        <v>1621</v>
      </c>
      <c r="B135" s="3" t="s">
        <v>1666</v>
      </c>
      <c r="C135" s="3" t="s">
        <v>1667</v>
      </c>
      <c r="D135" s="3" t="s">
        <v>1668</v>
      </c>
      <c r="E135" s="3" t="s">
        <v>1669</v>
      </c>
      <c r="F135" s="27"/>
    </row>
    <row r="136" customFormat="false" ht="23.25" hidden="false" customHeight="true" outlineLevel="0" collapsed="false">
      <c r="A136" s="3" t="s">
        <v>1621</v>
      </c>
      <c r="B136" s="3" t="s">
        <v>1670</v>
      </c>
      <c r="C136" s="3" t="s">
        <v>1667</v>
      </c>
      <c r="D136" s="3" t="s">
        <v>1671</v>
      </c>
      <c r="E136" s="3" t="s">
        <v>1672</v>
      </c>
      <c r="F136" s="27"/>
    </row>
    <row r="137" customFormat="false" ht="23.25" hidden="false" customHeight="true" outlineLevel="0" collapsed="false">
      <c r="A137" s="3" t="s">
        <v>1621</v>
      </c>
      <c r="B137" s="3" t="s">
        <v>1673</v>
      </c>
      <c r="C137" s="3" t="s">
        <v>1667</v>
      </c>
      <c r="D137" s="3" t="s">
        <v>1674</v>
      </c>
      <c r="E137" s="3" t="s">
        <v>1675</v>
      </c>
      <c r="F137" s="27"/>
    </row>
    <row r="138" customFormat="false" ht="34.5" hidden="false" customHeight="true" outlineLevel="0" collapsed="false">
      <c r="A138" s="3" t="s">
        <v>1596</v>
      </c>
      <c r="B138" s="3" t="s">
        <v>1676</v>
      </c>
      <c r="C138" s="3" t="s">
        <v>1677</v>
      </c>
      <c r="D138" s="3" t="s">
        <v>1678</v>
      </c>
      <c r="E138" s="3" t="s">
        <v>1679</v>
      </c>
      <c r="F138" s="27"/>
    </row>
    <row r="139" customFormat="false" ht="23.25" hidden="false" customHeight="true" outlineLevel="0" collapsed="false">
      <c r="A139" s="3" t="s">
        <v>1596</v>
      </c>
      <c r="B139" s="3" t="s">
        <v>1680</v>
      </c>
      <c r="C139" s="3" t="s">
        <v>1681</v>
      </c>
      <c r="D139" s="3" t="s">
        <v>1682</v>
      </c>
      <c r="E139" s="3" t="s">
        <v>1683</v>
      </c>
      <c r="F139" s="27"/>
    </row>
    <row r="140" customFormat="false" ht="15" hidden="false" customHeight="true" outlineLevel="0" collapsed="false">
      <c r="A140" s="3" t="s">
        <v>1596</v>
      </c>
      <c r="B140" s="3" t="s">
        <v>1684</v>
      </c>
      <c r="C140" s="3" t="s">
        <v>1685</v>
      </c>
      <c r="D140" s="3" t="s">
        <v>1686</v>
      </c>
      <c r="E140" s="3" t="s">
        <v>1687</v>
      </c>
      <c r="F140" s="27"/>
    </row>
    <row r="141" customFormat="false" ht="34.5" hidden="false" customHeight="true" outlineLevel="0" collapsed="false">
      <c r="A141" s="3" t="s">
        <v>1596</v>
      </c>
      <c r="B141" s="3" t="s">
        <v>1688</v>
      </c>
      <c r="C141" s="3" t="s">
        <v>1689</v>
      </c>
      <c r="D141" s="3" t="s">
        <v>1690</v>
      </c>
      <c r="E141" s="3" t="s">
        <v>1691</v>
      </c>
      <c r="F141" s="27"/>
    </row>
    <row r="142" customFormat="false" ht="23.25" hidden="false" customHeight="true" outlineLevel="0" collapsed="false">
      <c r="A142" s="3" t="s">
        <v>1596</v>
      </c>
      <c r="B142" s="3" t="s">
        <v>1692</v>
      </c>
      <c r="C142" s="3" t="s">
        <v>1693</v>
      </c>
      <c r="D142" s="3" t="s">
        <v>809</v>
      </c>
      <c r="E142" s="3" t="s">
        <v>1694</v>
      </c>
      <c r="F142" s="27"/>
    </row>
    <row r="143" customFormat="false" ht="15" hidden="false" customHeight="true" outlineLevel="0" collapsed="false">
      <c r="A143" s="27"/>
      <c r="B143" s="27"/>
      <c r="C143" s="27"/>
      <c r="D143" s="27"/>
      <c r="E143" s="27"/>
      <c r="F143" s="27"/>
    </row>
    <row r="144" customFormat="false" ht="15" hidden="false" customHeight="true" outlineLevel="0" collapsed="false">
      <c r="A144" s="28" t="s">
        <v>744</v>
      </c>
      <c r="B144" s="28"/>
      <c r="C144" s="28"/>
      <c r="D144" s="28"/>
      <c r="E144" s="28"/>
      <c r="F144" s="28"/>
    </row>
    <row r="145" customFormat="false" ht="15" hidden="false" customHeight="true" outlineLevel="0" collapsed="false">
      <c r="A145" s="29" t="s">
        <v>2265</v>
      </c>
      <c r="B145" s="30" t="s">
        <v>954</v>
      </c>
      <c r="C145" s="30"/>
      <c r="D145" s="30"/>
      <c r="E145" s="30"/>
      <c r="F145"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44:F144"/>
    <mergeCell ref="B145:F1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75" hidden="false" customHeight="true" outlineLevel="0" collapsed="false">
      <c r="A1" s="25" t="s">
        <v>2293</v>
      </c>
    </row>
    <row r="2" customFormat="false" ht="34.5" hidden="false" customHeight="true" outlineLevel="0" collapsed="false">
      <c r="A2" s="26" t="s">
        <v>957</v>
      </c>
      <c r="B2" s="27"/>
      <c r="C2" s="27"/>
      <c r="D2" s="27"/>
      <c r="E2" s="27"/>
      <c r="F2" s="27"/>
    </row>
    <row r="3" customFormat="false" ht="34.5" hidden="false" customHeight="true" outlineLevel="0" collapsed="false">
      <c r="A3" s="4" t="s">
        <v>956</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958</v>
      </c>
      <c r="C7" s="30"/>
      <c r="D7" s="30"/>
      <c r="E7" s="30"/>
      <c r="F7" s="30"/>
    </row>
    <row r="8" customFormat="false" ht="15" hidden="false" customHeight="true" outlineLevel="0" collapsed="false">
      <c r="A8" s="29" t="s">
        <v>2156</v>
      </c>
      <c r="B8" s="30" t="s">
        <v>150</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15" hidden="false" customHeight="true" outlineLevel="0" collapsed="false">
      <c r="A12" s="29" t="s">
        <v>2160</v>
      </c>
      <c r="B12" s="30" t="s">
        <v>2173</v>
      </c>
      <c r="C12" s="30"/>
      <c r="D12" s="30"/>
      <c r="E12" s="30"/>
      <c r="F12" s="30"/>
    </row>
    <row r="13" customFormat="false" ht="23.25" hidden="false" customHeight="true" outlineLevel="0" collapsed="false">
      <c r="A13" s="29" t="s">
        <v>2161</v>
      </c>
      <c r="B13" s="30" t="s">
        <v>2174</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147</v>
      </c>
      <c r="C16" s="30"/>
      <c r="D16" s="30"/>
      <c r="E16" s="30"/>
      <c r="F16" s="30"/>
    </row>
    <row r="17" customFormat="false" ht="15" hidden="false" customHeight="true" outlineLevel="0" collapsed="false">
      <c r="A17" s="29" t="s">
        <v>627</v>
      </c>
      <c r="B17" s="30" t="s">
        <v>958</v>
      </c>
      <c r="C17" s="30"/>
      <c r="D17" s="30"/>
      <c r="E17" s="30"/>
      <c r="F17" s="30"/>
    </row>
    <row r="18" customFormat="false" ht="15" hidden="false" customHeight="true" outlineLevel="0" collapsed="false">
      <c r="A18" s="29" t="s">
        <v>628</v>
      </c>
      <c r="B18" s="30" t="s">
        <v>959</v>
      </c>
      <c r="C18" s="30"/>
      <c r="D18" s="30"/>
      <c r="E18" s="30"/>
      <c r="F18" s="30"/>
    </row>
    <row r="19" customFormat="false" ht="15" hidden="false" customHeight="true" outlineLevel="0" collapsed="false">
      <c r="A19" s="29" t="s">
        <v>629</v>
      </c>
      <c r="B19" s="30" t="s">
        <v>960</v>
      </c>
      <c r="C19" s="30"/>
      <c r="D19" s="30"/>
      <c r="E19" s="30"/>
      <c r="F19" s="30"/>
    </row>
    <row r="20" customFormat="false" ht="15" hidden="false" customHeight="true" outlineLevel="0" collapsed="false">
      <c r="A20" s="29" t="s">
        <v>630</v>
      </c>
      <c r="B20" s="30" t="s">
        <v>961</v>
      </c>
      <c r="C20" s="30"/>
      <c r="D20" s="30"/>
      <c r="E20" s="30"/>
      <c r="F20" s="30"/>
    </row>
    <row r="21" customFormat="false" ht="15" hidden="false" customHeight="true" outlineLevel="0" collapsed="false">
      <c r="A21" s="29" t="s">
        <v>631</v>
      </c>
      <c r="B21" s="30" t="s">
        <v>818</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634</v>
      </c>
      <c r="B25" s="30" t="s">
        <v>1513</v>
      </c>
      <c r="C25" s="30"/>
      <c r="D25" s="30"/>
      <c r="E25" s="30"/>
      <c r="F25" s="30"/>
    </row>
    <row r="26" customFormat="false" ht="15" hidden="false" customHeight="true" outlineLevel="0" collapsed="false">
      <c r="A26" s="29" t="s">
        <v>635</v>
      </c>
      <c r="B26" s="30" t="s">
        <v>1514</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1515</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1516</v>
      </c>
      <c r="C31" s="30"/>
      <c r="D31" s="30"/>
      <c r="E31" s="30"/>
      <c r="F31" s="30"/>
    </row>
    <row r="32" customFormat="false" ht="15" hidden="false" customHeight="true" outlineLevel="0" collapsed="false">
      <c r="A32" s="29" t="s">
        <v>641</v>
      </c>
      <c r="B32" s="30" t="s">
        <v>1517</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1518</v>
      </c>
      <c r="B35" s="28"/>
      <c r="C35" s="28"/>
      <c r="D35" s="28"/>
      <c r="E35" s="28"/>
      <c r="F35" s="28"/>
    </row>
    <row r="36" customFormat="false" ht="15" hidden="false" customHeight="true" outlineLevel="0" collapsed="false">
      <c r="A36" s="29" t="s">
        <v>634</v>
      </c>
      <c r="B36" s="30" t="s">
        <v>1519</v>
      </c>
      <c r="C36" s="30"/>
      <c r="D36" s="30"/>
      <c r="E36" s="30"/>
      <c r="F36" s="30"/>
    </row>
    <row r="37" customFormat="false" ht="15" hidden="false" customHeight="true" outlineLevel="0" collapsed="false">
      <c r="A37" s="29" t="s">
        <v>635</v>
      </c>
      <c r="B37" s="30" t="s">
        <v>1520</v>
      </c>
      <c r="C37" s="30"/>
      <c r="D37" s="30"/>
      <c r="E37" s="30"/>
      <c r="F37" s="30"/>
    </row>
    <row r="38" customFormat="false" ht="15" hidden="false" customHeight="true" outlineLevel="0" collapsed="false">
      <c r="A38" s="29" t="s">
        <v>636</v>
      </c>
      <c r="B38" s="30" t="s">
        <v>756</v>
      </c>
      <c r="C38" s="30"/>
      <c r="D38" s="30"/>
      <c r="E38" s="30"/>
      <c r="F38" s="30"/>
    </row>
    <row r="39" customFormat="false" ht="15" hidden="false" customHeight="true" outlineLevel="0" collapsed="false">
      <c r="A39" s="29" t="s">
        <v>637</v>
      </c>
      <c r="B39" s="30" t="s">
        <v>1521</v>
      </c>
      <c r="C39" s="30"/>
      <c r="D39" s="30"/>
      <c r="E39" s="30"/>
      <c r="F39" s="30"/>
    </row>
    <row r="40" customFormat="false" ht="15" hidden="false" customHeight="true" outlineLevel="0" collapsed="false">
      <c r="A40" s="29" t="s">
        <v>638</v>
      </c>
      <c r="B40" s="30" t="s">
        <v>773</v>
      </c>
      <c r="C40" s="30"/>
      <c r="D40" s="30"/>
      <c r="E40" s="30"/>
      <c r="F40" s="30"/>
    </row>
    <row r="41" customFormat="false" ht="15" hidden="false" customHeight="true" outlineLevel="0" collapsed="false">
      <c r="A41" s="29" t="s">
        <v>639</v>
      </c>
      <c r="B41" s="30" t="s">
        <v>809</v>
      </c>
      <c r="C41" s="30"/>
      <c r="D41" s="30"/>
      <c r="E41" s="30"/>
      <c r="F41" s="30"/>
    </row>
    <row r="42" customFormat="false" ht="15" hidden="false" customHeight="true" outlineLevel="0" collapsed="false">
      <c r="A42" s="29" t="s">
        <v>640</v>
      </c>
      <c r="B42" s="30" t="s">
        <v>1522</v>
      </c>
      <c r="C42" s="30"/>
      <c r="D42" s="30"/>
      <c r="E42" s="30"/>
      <c r="F42" s="30"/>
    </row>
    <row r="43" customFormat="false" ht="15" hidden="false" customHeight="true" outlineLevel="0" collapsed="false">
      <c r="A43" s="29" t="s">
        <v>641</v>
      </c>
      <c r="B43" s="30" t="s">
        <v>1523</v>
      </c>
      <c r="C43" s="30"/>
      <c r="D43" s="30"/>
      <c r="E43" s="30"/>
      <c r="F43" s="30"/>
    </row>
    <row r="44" customFormat="false" ht="15" hidden="false" customHeight="true" outlineLevel="0" collapsed="false">
      <c r="A44" s="29" t="s">
        <v>642</v>
      </c>
      <c r="B44" s="30" t="s">
        <v>773</v>
      </c>
      <c r="C44" s="30"/>
      <c r="D44" s="30"/>
      <c r="E44" s="30"/>
      <c r="F44" s="30"/>
    </row>
    <row r="45" customFormat="false" ht="15" hidden="false" customHeight="true" outlineLevel="0" collapsed="false">
      <c r="A45" s="27"/>
      <c r="B45" s="27"/>
      <c r="C45" s="27"/>
      <c r="D45" s="27"/>
      <c r="E45" s="27"/>
      <c r="F45" s="27"/>
    </row>
    <row r="46" customFormat="false" ht="15" hidden="false" customHeight="true" outlineLevel="0" collapsed="false">
      <c r="A46" s="28" t="s">
        <v>2225</v>
      </c>
      <c r="B46" s="28"/>
      <c r="C46" s="28"/>
      <c r="D46" s="28"/>
      <c r="E46" s="28"/>
      <c r="F46" s="28"/>
    </row>
    <row r="47" customFormat="false" ht="15" hidden="false" customHeight="true" outlineLevel="0" collapsed="false">
      <c r="A47" s="29" t="s">
        <v>643</v>
      </c>
      <c r="B47" s="30" t="s">
        <v>970</v>
      </c>
      <c r="C47" s="30"/>
      <c r="D47" s="30"/>
      <c r="E47" s="30"/>
      <c r="F47" s="30"/>
    </row>
    <row r="48" customFormat="false" ht="15" hidden="false" customHeight="true" outlineLevel="0" collapsed="false">
      <c r="A48" s="29" t="s">
        <v>644</v>
      </c>
      <c r="B48" s="30" t="s">
        <v>971</v>
      </c>
      <c r="C48" s="30"/>
      <c r="D48" s="30"/>
      <c r="E48" s="30"/>
      <c r="F48" s="30"/>
    </row>
    <row r="49" customFormat="false" ht="15" hidden="false" customHeight="true" outlineLevel="0" collapsed="false">
      <c r="A49" s="29" t="s">
        <v>645</v>
      </c>
      <c r="B49" s="30" t="s">
        <v>972</v>
      </c>
      <c r="C49" s="30"/>
      <c r="D49" s="30"/>
      <c r="E49" s="30"/>
      <c r="F49" s="30"/>
    </row>
    <row r="50" customFormat="false" ht="15" hidden="false" customHeight="true" outlineLevel="0" collapsed="false">
      <c r="A50" s="29" t="s">
        <v>646</v>
      </c>
      <c r="B50" s="30" t="s">
        <v>973</v>
      </c>
      <c r="C50" s="30"/>
      <c r="D50" s="30"/>
      <c r="E50" s="30"/>
      <c r="F50" s="30"/>
    </row>
    <row r="51" customFormat="false" ht="15" hidden="false" customHeight="true" outlineLevel="0" collapsed="false">
      <c r="A51" s="29" t="s">
        <v>647</v>
      </c>
      <c r="B51" s="30" t="s">
        <v>974</v>
      </c>
      <c r="C51" s="30"/>
      <c r="D51" s="30"/>
      <c r="E51" s="30"/>
      <c r="F51" s="30"/>
    </row>
    <row r="52" customFormat="false" ht="15" hidden="false" customHeight="true" outlineLevel="0" collapsed="false">
      <c r="A52" s="29" t="s">
        <v>648</v>
      </c>
      <c r="B52" s="30" t="s">
        <v>975</v>
      </c>
      <c r="C52" s="30"/>
      <c r="D52" s="30"/>
      <c r="E52" s="30"/>
      <c r="F52" s="30"/>
    </row>
    <row r="53" customFormat="false" ht="15" hidden="false" customHeight="true" outlineLevel="0" collapsed="false">
      <c r="A53" s="29" t="s">
        <v>649</v>
      </c>
      <c r="B53" s="30" t="s">
        <v>976</v>
      </c>
      <c r="C53" s="30"/>
      <c r="D53" s="30"/>
      <c r="E53" s="30"/>
      <c r="F53" s="30"/>
    </row>
    <row r="54" customFormat="false" ht="15" hidden="false" customHeight="true" outlineLevel="0" collapsed="false">
      <c r="A54" s="29" t="s">
        <v>650</v>
      </c>
      <c r="B54" s="30" t="s">
        <v>831</v>
      </c>
      <c r="C54" s="30"/>
      <c r="D54" s="30"/>
      <c r="E54" s="30"/>
      <c r="F54" s="30"/>
    </row>
    <row r="55" customFormat="false" ht="15" hidden="false" customHeight="true" outlineLevel="0" collapsed="false">
      <c r="A55" s="29" t="s">
        <v>651</v>
      </c>
      <c r="B55" s="30" t="s">
        <v>771</v>
      </c>
      <c r="C55" s="30"/>
      <c r="D55" s="30"/>
      <c r="E55" s="30"/>
      <c r="F55" s="30"/>
    </row>
    <row r="56" customFormat="false" ht="15" hidden="false" customHeight="true" outlineLevel="0" collapsed="false">
      <c r="A56" s="29" t="s">
        <v>652</v>
      </c>
      <c r="B56" s="30" t="s">
        <v>977</v>
      </c>
      <c r="C56" s="30"/>
      <c r="D56" s="30"/>
      <c r="E56" s="30"/>
      <c r="F56" s="30"/>
    </row>
    <row r="57" customFormat="false" ht="15" hidden="false" customHeight="true" outlineLevel="0" collapsed="false">
      <c r="A57" s="29" t="s">
        <v>653</v>
      </c>
      <c r="B57" s="30" t="s">
        <v>773</v>
      </c>
      <c r="C57" s="30"/>
      <c r="D57" s="30"/>
      <c r="E57" s="30"/>
      <c r="F57" s="30"/>
    </row>
    <row r="58" customFormat="false" ht="15" hidden="false" customHeight="true" outlineLevel="0" collapsed="false">
      <c r="A58" s="29" t="s">
        <v>654</v>
      </c>
      <c r="B58" s="30" t="s">
        <v>978</v>
      </c>
      <c r="C58" s="30"/>
      <c r="D58" s="30"/>
      <c r="E58" s="30"/>
      <c r="F58" s="30"/>
    </row>
    <row r="59" customFormat="false" ht="23.25" hidden="false" customHeight="true" outlineLevel="0" collapsed="false">
      <c r="A59" s="29" t="s">
        <v>655</v>
      </c>
      <c r="B59" s="30" t="s">
        <v>772</v>
      </c>
      <c r="C59" s="30"/>
      <c r="D59" s="30"/>
      <c r="E59" s="30"/>
      <c r="F59" s="30"/>
    </row>
    <row r="60" customFormat="false" ht="15" hidden="false" customHeight="true" outlineLevel="0" collapsed="false">
      <c r="A60" s="29" t="s">
        <v>656</v>
      </c>
      <c r="B60" s="30" t="s">
        <v>979</v>
      </c>
      <c r="C60" s="30"/>
      <c r="D60" s="30"/>
      <c r="E60" s="30"/>
      <c r="F60" s="30"/>
    </row>
    <row r="61" customFormat="false" ht="15" hidden="false" customHeight="true" outlineLevel="0" collapsed="false">
      <c r="A61" s="27"/>
      <c r="B61" s="27"/>
      <c r="C61" s="27"/>
      <c r="D61" s="27"/>
      <c r="E61" s="27"/>
      <c r="F61" s="27"/>
    </row>
    <row r="62" customFormat="false" ht="15" hidden="false" customHeight="true" outlineLevel="0" collapsed="false">
      <c r="A62" s="28" t="s">
        <v>614</v>
      </c>
      <c r="B62" s="28"/>
      <c r="C62" s="28"/>
      <c r="D62" s="28"/>
      <c r="E62" s="28"/>
      <c r="F62" s="28"/>
    </row>
    <row r="63" customFormat="false" ht="15" hidden="false" customHeight="true" outlineLevel="0" collapsed="false">
      <c r="A63" s="29" t="s">
        <v>657</v>
      </c>
      <c r="B63" s="30" t="s">
        <v>980</v>
      </c>
      <c r="C63" s="30"/>
      <c r="D63" s="30"/>
      <c r="E63" s="30"/>
      <c r="F63" s="30"/>
    </row>
    <row r="64" customFormat="false" ht="15" hidden="false" customHeight="true" outlineLevel="0" collapsed="false">
      <c r="A64" s="29" t="s">
        <v>658</v>
      </c>
      <c r="B64" s="30" t="s">
        <v>981</v>
      </c>
      <c r="C64" s="30"/>
      <c r="D64" s="30"/>
      <c r="E64" s="30"/>
      <c r="F64" s="30"/>
    </row>
    <row r="65" customFormat="false" ht="15" hidden="false" customHeight="true" outlineLevel="0" collapsed="false">
      <c r="A65" s="29" t="s">
        <v>659</v>
      </c>
      <c r="B65" s="30" t="s">
        <v>982</v>
      </c>
      <c r="C65" s="30"/>
      <c r="D65" s="30"/>
      <c r="E65" s="30"/>
      <c r="F65" s="30"/>
    </row>
    <row r="66" customFormat="false" ht="15" hidden="false" customHeight="true" outlineLevel="0" collapsed="false">
      <c r="A66" s="27"/>
      <c r="B66" s="27"/>
      <c r="C66" s="27"/>
      <c r="D66" s="27"/>
      <c r="E66" s="27"/>
      <c r="F66" s="27"/>
    </row>
    <row r="67" customFormat="false" ht="15" hidden="false" customHeight="true" outlineLevel="0" collapsed="false">
      <c r="A67" s="28" t="s">
        <v>2226</v>
      </c>
      <c r="B67" s="28"/>
      <c r="C67" s="28"/>
      <c r="D67" s="28"/>
      <c r="E67" s="28"/>
      <c r="F67" s="28"/>
    </row>
    <row r="68" customFormat="false" ht="15" hidden="false" customHeight="true" outlineLevel="0" collapsed="false">
      <c r="A68" s="29" t="s">
        <v>2227</v>
      </c>
      <c r="B68" s="30" t="s">
        <v>2228</v>
      </c>
      <c r="C68" s="30"/>
      <c r="D68" s="30"/>
      <c r="E68" s="30"/>
      <c r="F68" s="30"/>
    </row>
    <row r="69" customFormat="false" ht="15" hidden="false" customHeight="true" outlineLevel="0" collapsed="false">
      <c r="A69" s="29" t="s">
        <v>2229</v>
      </c>
      <c r="B69" s="30" t="s">
        <v>2231</v>
      </c>
      <c r="C69" s="30"/>
      <c r="D69" s="30"/>
      <c r="E69" s="30"/>
      <c r="F69" s="30"/>
    </row>
    <row r="70" customFormat="false" ht="15" hidden="false" customHeight="true" outlineLevel="0" collapsed="false">
      <c r="A70" s="29" t="s">
        <v>2230</v>
      </c>
      <c r="B70" s="30" t="s">
        <v>2231</v>
      </c>
      <c r="C70" s="30"/>
      <c r="D70" s="30"/>
      <c r="E70" s="30"/>
      <c r="F70" s="30"/>
    </row>
    <row r="71" customFormat="false" ht="15" hidden="false" customHeight="true" outlineLevel="0" collapsed="false">
      <c r="A71" s="27"/>
      <c r="B71" s="27"/>
      <c r="C71" s="27"/>
      <c r="D71" s="27"/>
      <c r="E71" s="27"/>
      <c r="F71" s="27"/>
    </row>
    <row r="72" customFormat="false" ht="15" hidden="false" customHeight="true" outlineLevel="0" collapsed="false">
      <c r="A72" s="4" t="s">
        <v>2232</v>
      </c>
      <c r="B72" s="27"/>
      <c r="C72" s="27"/>
      <c r="D72" s="27"/>
      <c r="E72" s="27"/>
      <c r="F72" s="27"/>
    </row>
    <row r="73" customFormat="false" ht="15" hidden="false" customHeight="true" outlineLevel="0" collapsed="false">
      <c r="A73" s="29" t="s">
        <v>2233</v>
      </c>
      <c r="B73" s="29" t="s">
        <v>2234</v>
      </c>
      <c r="C73" s="27"/>
      <c r="D73" s="27"/>
      <c r="E73" s="27"/>
      <c r="F73" s="27"/>
    </row>
    <row r="74" customFormat="false" ht="15" hidden="false" customHeight="true" outlineLevel="0" collapsed="false">
      <c r="A74" s="3" t="s">
        <v>1355</v>
      </c>
      <c r="B74" s="3" t="s">
        <v>1416</v>
      </c>
      <c r="C74" s="27"/>
      <c r="D74" s="27"/>
      <c r="E74" s="27"/>
      <c r="F74" s="27"/>
    </row>
    <row r="75" customFormat="false" ht="15" hidden="false" customHeight="true" outlineLevel="0" collapsed="false">
      <c r="A75" s="3" t="s">
        <v>1356</v>
      </c>
      <c r="B75" s="3" t="s">
        <v>60</v>
      </c>
      <c r="C75" s="27"/>
      <c r="D75" s="27"/>
      <c r="E75" s="27"/>
      <c r="F75" s="27"/>
    </row>
    <row r="76" customFormat="false" ht="15" hidden="false" customHeight="true" outlineLevel="0" collapsed="false">
      <c r="A76" s="3" t="s">
        <v>1357</v>
      </c>
      <c r="B76" s="3" t="s">
        <v>1417</v>
      </c>
      <c r="C76" s="27"/>
      <c r="D76" s="27"/>
      <c r="E76" s="27"/>
      <c r="F76" s="27"/>
    </row>
    <row r="77" customFormat="false" ht="23.25" hidden="false" customHeight="true" outlineLevel="0" collapsed="false">
      <c r="A77" s="3" t="s">
        <v>1358</v>
      </c>
      <c r="B77" s="3" t="s">
        <v>1418</v>
      </c>
      <c r="C77" s="27"/>
      <c r="D77" s="27"/>
      <c r="E77" s="27"/>
      <c r="F77" s="27"/>
    </row>
    <row r="78" customFormat="false" ht="15" hidden="false" customHeight="true" outlineLevel="0" collapsed="false">
      <c r="A78" s="3" t="s">
        <v>1359</v>
      </c>
      <c r="B78" s="3" t="s">
        <v>1419</v>
      </c>
      <c r="C78" s="27"/>
      <c r="D78" s="27"/>
      <c r="E78" s="27"/>
      <c r="F78" s="27"/>
    </row>
    <row r="79" customFormat="false" ht="34.5" hidden="false" customHeight="true" outlineLevel="0" collapsed="false">
      <c r="A79" s="3" t="s">
        <v>1360</v>
      </c>
      <c r="B79" s="3" t="s">
        <v>1420</v>
      </c>
      <c r="C79" s="27"/>
      <c r="D79" s="27"/>
      <c r="E79" s="27"/>
      <c r="F79" s="27"/>
    </row>
    <row r="80" customFormat="false" ht="23.25" hidden="false" customHeight="true" outlineLevel="0" collapsed="false">
      <c r="A80" s="3" t="s">
        <v>1361</v>
      </c>
      <c r="B80" s="3" t="s">
        <v>1421</v>
      </c>
      <c r="C80" s="27"/>
      <c r="D80" s="27"/>
      <c r="E80" s="27"/>
      <c r="F80" s="27"/>
    </row>
    <row r="81" customFormat="false" ht="45.75" hidden="false" customHeight="true" outlineLevel="0" collapsed="false">
      <c r="A81" s="3" t="s">
        <v>1362</v>
      </c>
      <c r="B81" s="3" t="s">
        <v>1422</v>
      </c>
      <c r="C81" s="27"/>
      <c r="D81" s="27"/>
      <c r="E81" s="27"/>
      <c r="F81" s="27"/>
    </row>
    <row r="82" customFormat="false" ht="15" hidden="false" customHeight="true" outlineLevel="0" collapsed="false">
      <c r="A82" s="27"/>
      <c r="B82" s="27"/>
      <c r="C82" s="27"/>
      <c r="D82" s="27"/>
      <c r="E82" s="27"/>
      <c r="F82" s="27"/>
    </row>
    <row r="83" customFormat="false" ht="15" hidden="false" customHeight="true" outlineLevel="0" collapsed="false">
      <c r="A83" s="4" t="s">
        <v>2236</v>
      </c>
      <c r="B83" s="27"/>
      <c r="C83" s="27"/>
      <c r="D83" s="27"/>
      <c r="E83" s="27"/>
      <c r="F83" s="27"/>
    </row>
    <row r="84" customFormat="false" ht="15" hidden="false" customHeight="true" outlineLevel="0" collapsed="false">
      <c r="A84" s="29" t="s">
        <v>2237</v>
      </c>
      <c r="B84" s="30" t="s">
        <v>984</v>
      </c>
      <c r="C84" s="30"/>
      <c r="D84" s="30"/>
      <c r="E84" s="30"/>
      <c r="F84" s="30"/>
    </row>
    <row r="85" customFormat="false" ht="15" hidden="false" customHeight="true" outlineLevel="0" collapsed="false">
      <c r="A85" s="29" t="s">
        <v>2238</v>
      </c>
      <c r="B85" s="30" t="s">
        <v>809</v>
      </c>
      <c r="C85" s="30"/>
      <c r="D85" s="30"/>
      <c r="E85" s="30"/>
      <c r="F85" s="30"/>
    </row>
    <row r="86" customFormat="false" ht="15" hidden="false" customHeight="true" outlineLevel="0" collapsed="false">
      <c r="A86" s="29" t="s">
        <v>1359</v>
      </c>
      <c r="B86" s="30" t="s">
        <v>809</v>
      </c>
      <c r="C86" s="30"/>
      <c r="D86" s="30"/>
      <c r="E86" s="30"/>
      <c r="F86" s="30"/>
    </row>
    <row r="87" customFormat="false" ht="23.25" hidden="false" customHeight="true" outlineLevel="0" collapsed="false">
      <c r="A87" s="29" t="s">
        <v>2239</v>
      </c>
      <c r="B87" s="30" t="s">
        <v>809</v>
      </c>
      <c r="C87" s="30"/>
      <c r="D87" s="30"/>
      <c r="E87" s="30"/>
      <c r="F87" s="30"/>
    </row>
    <row r="88" customFormat="false" ht="15" hidden="false" customHeight="true" outlineLevel="0" collapsed="false">
      <c r="A88" s="27"/>
      <c r="B88" s="27"/>
      <c r="C88" s="27"/>
      <c r="D88" s="27"/>
      <c r="E88" s="27"/>
      <c r="F88" s="27"/>
    </row>
    <row r="89" customFormat="false" ht="15" hidden="false" customHeight="true" outlineLevel="0" collapsed="false">
      <c r="A89" s="28" t="s">
        <v>2240</v>
      </c>
      <c r="B89" s="28"/>
      <c r="C89" s="28"/>
      <c r="D89" s="28"/>
      <c r="E89" s="28"/>
      <c r="F89" s="28"/>
    </row>
    <row r="90" customFormat="false" ht="34.5" hidden="false" customHeight="true" outlineLevel="0" collapsed="false">
      <c r="A90" s="29" t="s">
        <v>669</v>
      </c>
      <c r="B90" s="30" t="s">
        <v>985</v>
      </c>
      <c r="C90" s="30"/>
      <c r="D90" s="30"/>
      <c r="E90" s="30"/>
      <c r="F90" s="30"/>
    </row>
    <row r="91" customFormat="false" ht="23.25" hidden="false" customHeight="true" outlineLevel="0" collapsed="false">
      <c r="A91" s="29" t="s">
        <v>670</v>
      </c>
      <c r="B91" s="30" t="s">
        <v>986</v>
      </c>
      <c r="C91" s="30"/>
      <c r="D91" s="30"/>
      <c r="E91" s="30"/>
      <c r="F91" s="30"/>
    </row>
    <row r="92" customFormat="false" ht="23.25" hidden="false" customHeight="true" outlineLevel="0" collapsed="false">
      <c r="A92" s="29" t="s">
        <v>671</v>
      </c>
      <c r="B92" s="30" t="s">
        <v>987</v>
      </c>
      <c r="C92" s="30"/>
      <c r="D92" s="30"/>
      <c r="E92" s="30"/>
      <c r="F92" s="30"/>
    </row>
    <row r="93" customFormat="false" ht="15" hidden="false" customHeight="true" outlineLevel="0" collapsed="false">
      <c r="A93" s="27"/>
      <c r="B93" s="27"/>
      <c r="C93" s="27"/>
      <c r="D93" s="27"/>
      <c r="E93" s="27"/>
      <c r="F93" s="27"/>
    </row>
    <row r="94" customFormat="false" ht="15" hidden="false" customHeight="true" outlineLevel="0" collapsed="false">
      <c r="A94" s="28" t="s">
        <v>2241</v>
      </c>
      <c r="B94" s="28"/>
      <c r="C94" s="28"/>
      <c r="D94" s="28"/>
      <c r="E94" s="28"/>
      <c r="F94" s="28"/>
    </row>
    <row r="95" customFormat="false" ht="15" hidden="false" customHeight="true" outlineLevel="0" collapsed="false">
      <c r="A95" s="29" t="s">
        <v>2242</v>
      </c>
      <c r="B95" s="29" t="s">
        <v>2243</v>
      </c>
      <c r="C95" s="29" t="s">
        <v>2244</v>
      </c>
      <c r="D95" s="27"/>
      <c r="E95" s="27"/>
      <c r="F95" s="27"/>
    </row>
    <row r="96" customFormat="false" ht="23.25" hidden="false" customHeight="true" outlineLevel="0" collapsed="false">
      <c r="A96" s="3" t="s">
        <v>2245</v>
      </c>
      <c r="B96" s="3" t="s">
        <v>988</v>
      </c>
      <c r="C96" s="3" t="s">
        <v>2250</v>
      </c>
      <c r="D96" s="27"/>
      <c r="E96" s="27"/>
      <c r="F96" s="27"/>
    </row>
    <row r="97" customFormat="false" ht="23.25" hidden="false" customHeight="true" outlineLevel="0" collapsed="false">
      <c r="A97" s="3" t="s">
        <v>2289</v>
      </c>
      <c r="B97" s="3" t="s">
        <v>989</v>
      </c>
      <c r="C97" s="3" t="s">
        <v>2250</v>
      </c>
      <c r="D97" s="27"/>
      <c r="E97" s="27"/>
      <c r="F97" s="27"/>
    </row>
    <row r="98" customFormat="false" ht="23.25" hidden="false" customHeight="true" outlineLevel="0" collapsed="false">
      <c r="A98" s="3" t="s">
        <v>2248</v>
      </c>
      <c r="B98" s="3" t="s">
        <v>809</v>
      </c>
      <c r="C98" s="3" t="s">
        <v>2250</v>
      </c>
      <c r="D98" s="27"/>
      <c r="E98" s="27"/>
      <c r="F98" s="27"/>
    </row>
    <row r="99" customFormat="false" ht="15" hidden="false" customHeight="true" outlineLevel="0" collapsed="false">
      <c r="A99" s="3" t="s">
        <v>2249</v>
      </c>
      <c r="B99" s="3" t="s">
        <v>809</v>
      </c>
      <c r="C99" s="3" t="s">
        <v>2250</v>
      </c>
      <c r="D99" s="27"/>
      <c r="E99" s="27"/>
      <c r="F99" s="27"/>
    </row>
    <row r="100" customFormat="false" ht="15" hidden="false" customHeight="true" outlineLevel="0" collapsed="false">
      <c r="A100" s="3" t="s">
        <v>2251</v>
      </c>
      <c r="B100" s="3" t="s">
        <v>809</v>
      </c>
      <c r="C100" s="3" t="s">
        <v>2250</v>
      </c>
      <c r="D100" s="27"/>
      <c r="E100" s="27"/>
      <c r="F100" s="27"/>
    </row>
    <row r="101" customFormat="false" ht="15" hidden="false" customHeight="true" outlineLevel="0" collapsed="false">
      <c r="A101" s="3" t="s">
        <v>2252</v>
      </c>
      <c r="B101" s="3" t="s">
        <v>809</v>
      </c>
      <c r="C101" s="3" t="s">
        <v>2250</v>
      </c>
      <c r="D101" s="27"/>
      <c r="E101" s="27"/>
      <c r="F101" s="27"/>
    </row>
    <row r="102" customFormat="false" ht="23.25" hidden="false" customHeight="true" outlineLevel="0" collapsed="false">
      <c r="A102" s="3" t="s">
        <v>2253</v>
      </c>
      <c r="B102" s="3" t="s">
        <v>809</v>
      </c>
      <c r="C102" s="3" t="s">
        <v>2250</v>
      </c>
      <c r="D102" s="27"/>
      <c r="E102" s="27"/>
      <c r="F102" s="27"/>
    </row>
    <row r="103" customFormat="false" ht="15" hidden="false" customHeight="true" outlineLevel="0" collapsed="false">
      <c r="A103" s="3" t="s">
        <v>2254</v>
      </c>
      <c r="B103" s="3" t="s">
        <v>809</v>
      </c>
      <c r="C103" s="3" t="s">
        <v>2250</v>
      </c>
      <c r="D103" s="27"/>
      <c r="E103" s="27"/>
      <c r="F103" s="27"/>
    </row>
    <row r="104" customFormat="false" ht="15" hidden="false" customHeight="true" outlineLevel="0" collapsed="false">
      <c r="A104" s="3" t="s">
        <v>2255</v>
      </c>
      <c r="B104" s="3" t="s">
        <v>809</v>
      </c>
      <c r="C104" s="3" t="s">
        <v>2250</v>
      </c>
      <c r="D104" s="27"/>
      <c r="E104" s="27"/>
      <c r="F104" s="27"/>
    </row>
    <row r="105" customFormat="false" ht="15" hidden="false" customHeight="true" outlineLevel="0" collapsed="false">
      <c r="A105" s="3" t="s">
        <v>2256</v>
      </c>
      <c r="B105" s="3" t="s">
        <v>809</v>
      </c>
      <c r="C105" s="3" t="s">
        <v>2250</v>
      </c>
      <c r="D105" s="27"/>
      <c r="E105" s="27"/>
      <c r="F105" s="27"/>
    </row>
    <row r="106" customFormat="false" ht="15" hidden="false" customHeight="true" outlineLevel="0" collapsed="false">
      <c r="A106" s="3" t="s">
        <v>2257</v>
      </c>
      <c r="B106" s="3" t="s">
        <v>809</v>
      </c>
      <c r="C106" s="3" t="s">
        <v>2250</v>
      </c>
      <c r="D106" s="27"/>
      <c r="E106" s="27"/>
      <c r="F106" s="27"/>
    </row>
    <row r="107" customFormat="false" ht="15" hidden="false" customHeight="true" outlineLevel="0" collapsed="false">
      <c r="A107" s="3" t="s">
        <v>2258</v>
      </c>
      <c r="B107" s="3" t="s">
        <v>809</v>
      </c>
      <c r="C107" s="3" t="s">
        <v>2250</v>
      </c>
      <c r="D107" s="27"/>
      <c r="E107" s="27"/>
      <c r="F107" s="27"/>
    </row>
    <row r="108" customFormat="false" ht="15" hidden="false" customHeight="true" outlineLevel="0" collapsed="false">
      <c r="A108" s="3" t="s">
        <v>2259</v>
      </c>
      <c r="B108" s="3" t="s">
        <v>809</v>
      </c>
      <c r="C108" s="3" t="s">
        <v>2250</v>
      </c>
      <c r="D108" s="27"/>
      <c r="E108" s="27"/>
      <c r="F108" s="27"/>
    </row>
    <row r="109" customFormat="false" ht="23.25" hidden="false" customHeight="true" outlineLevel="0" collapsed="false">
      <c r="A109" s="3" t="s">
        <v>2260</v>
      </c>
      <c r="B109" s="3" t="s">
        <v>809</v>
      </c>
      <c r="C109" s="3" t="s">
        <v>2250</v>
      </c>
      <c r="D109" s="27"/>
      <c r="E109" s="27"/>
      <c r="F109" s="27"/>
    </row>
    <row r="110" customFormat="false" ht="15" hidden="false" customHeight="true" outlineLevel="0" collapsed="false">
      <c r="A110" s="3" t="s">
        <v>2261</v>
      </c>
      <c r="B110" s="3" t="s">
        <v>809</v>
      </c>
      <c r="C110" s="3" t="s">
        <v>2250</v>
      </c>
      <c r="D110" s="27"/>
      <c r="E110" s="27"/>
      <c r="F110" s="27"/>
    </row>
    <row r="111" customFormat="false" ht="15" hidden="false" customHeight="true" outlineLevel="0" collapsed="false">
      <c r="A111" s="3" t="s">
        <v>2262</v>
      </c>
      <c r="B111" s="3" t="s">
        <v>809</v>
      </c>
      <c r="C111" s="3" t="s">
        <v>2250</v>
      </c>
      <c r="D111" s="27"/>
      <c r="E111" s="27"/>
      <c r="F111" s="27"/>
    </row>
    <row r="112" customFormat="false" ht="23.25" hidden="false" customHeight="true" outlineLevel="0" collapsed="false">
      <c r="A112" s="26" t="s">
        <v>990</v>
      </c>
      <c r="B112" s="27"/>
      <c r="C112" s="27"/>
      <c r="D112" s="27"/>
      <c r="E112" s="27"/>
      <c r="F112" s="27"/>
    </row>
    <row r="113" customFormat="false" ht="15" hidden="false" customHeight="true" outlineLevel="0" collapsed="false">
      <c r="A113" s="27"/>
      <c r="B113" s="27"/>
      <c r="C113" s="27"/>
      <c r="D113" s="27"/>
      <c r="E113" s="27"/>
      <c r="F113" s="27"/>
    </row>
    <row r="114" customFormat="false" ht="15" hidden="false" customHeight="true" outlineLevel="0" collapsed="false">
      <c r="A114" s="28" t="s">
        <v>2263</v>
      </c>
      <c r="B114" s="28"/>
      <c r="C114" s="28"/>
      <c r="D114" s="28"/>
      <c r="E114" s="28"/>
      <c r="F114" s="28"/>
    </row>
    <row r="115" customFormat="false" ht="15" hidden="false" customHeight="true" outlineLevel="0" collapsed="false">
      <c r="A115" s="29" t="s">
        <v>2264</v>
      </c>
      <c r="B115" s="29" t="s">
        <v>2265</v>
      </c>
      <c r="C115" s="29" t="s">
        <v>2244</v>
      </c>
      <c r="D115" s="27"/>
      <c r="E115" s="27"/>
      <c r="F115" s="27"/>
    </row>
    <row r="116" customFormat="false" ht="23.25" hidden="false" customHeight="true" outlineLevel="0" collapsed="false">
      <c r="A116" s="3" t="s">
        <v>2266</v>
      </c>
      <c r="B116" s="3" t="s">
        <v>991</v>
      </c>
      <c r="C116" s="3" t="s">
        <v>2250</v>
      </c>
      <c r="D116" s="27"/>
      <c r="E116" s="27"/>
      <c r="F116" s="27"/>
    </row>
    <row r="117" customFormat="false" ht="23.25" hidden="false" customHeight="true" outlineLevel="0" collapsed="false">
      <c r="A117" s="3" t="s">
        <v>2267</v>
      </c>
      <c r="B117" s="3" t="s">
        <v>992</v>
      </c>
      <c r="C117" s="3" t="s">
        <v>2246</v>
      </c>
      <c r="D117" s="27"/>
      <c r="E117" s="27"/>
      <c r="F117" s="27"/>
    </row>
    <row r="118" customFormat="false" ht="15" hidden="false" customHeight="true" outlineLevel="0" collapsed="false">
      <c r="A118" s="3" t="s">
        <v>2268</v>
      </c>
      <c r="B118" s="3" t="s">
        <v>809</v>
      </c>
      <c r="C118" s="3" t="s">
        <v>2250</v>
      </c>
      <c r="D118" s="27"/>
      <c r="E118" s="27"/>
      <c r="F118" s="27"/>
    </row>
    <row r="119" customFormat="false" ht="15" hidden="false" customHeight="true" outlineLevel="0" collapsed="false">
      <c r="A119" s="3" t="s">
        <v>2269</v>
      </c>
      <c r="B119" s="3" t="s">
        <v>809</v>
      </c>
      <c r="C119" s="3" t="s">
        <v>2250</v>
      </c>
      <c r="D119" s="27"/>
      <c r="E119" s="27"/>
      <c r="F119" s="27"/>
    </row>
    <row r="120" customFormat="false" ht="15" hidden="false" customHeight="true" outlineLevel="0" collapsed="false">
      <c r="A120" s="3" t="s">
        <v>2270</v>
      </c>
      <c r="B120" s="3" t="s">
        <v>809</v>
      </c>
      <c r="C120" s="3" t="s">
        <v>2250</v>
      </c>
      <c r="D120" s="27"/>
      <c r="E120" s="27"/>
      <c r="F120" s="27"/>
    </row>
    <row r="121" customFormat="false" ht="15" hidden="false" customHeight="true" outlineLevel="0" collapsed="false">
      <c r="A121" s="3" t="s">
        <v>2271</v>
      </c>
      <c r="B121" s="3" t="s">
        <v>809</v>
      </c>
      <c r="C121" s="3" t="s">
        <v>2250</v>
      </c>
      <c r="D121" s="27"/>
      <c r="E121" s="27"/>
      <c r="F121" s="27"/>
    </row>
    <row r="122" customFormat="false" ht="23.25" hidden="false" customHeight="true" outlineLevel="0" collapsed="false">
      <c r="A122" s="3" t="s">
        <v>2272</v>
      </c>
      <c r="B122" s="3" t="s">
        <v>809</v>
      </c>
      <c r="C122" s="3" t="s">
        <v>2250</v>
      </c>
      <c r="D122" s="27"/>
      <c r="E122" s="27"/>
      <c r="F122" s="27"/>
    </row>
    <row r="123" customFormat="false" ht="15" hidden="false" customHeight="true" outlineLevel="0" collapsed="false">
      <c r="A123" s="3" t="s">
        <v>2273</v>
      </c>
      <c r="B123" s="3" t="s">
        <v>858</v>
      </c>
      <c r="C123" s="3" t="s">
        <v>2250</v>
      </c>
      <c r="D123" s="27"/>
      <c r="E123" s="27"/>
      <c r="F123" s="27"/>
    </row>
    <row r="124" customFormat="false" ht="15" hidden="false" customHeight="true" outlineLevel="0" collapsed="false">
      <c r="A124" s="3" t="s">
        <v>2274</v>
      </c>
      <c r="B124" s="3" t="s">
        <v>809</v>
      </c>
      <c r="C124" s="3" t="s">
        <v>2250</v>
      </c>
      <c r="D124" s="27"/>
      <c r="E124" s="27"/>
      <c r="F124" s="27"/>
    </row>
    <row r="125" customFormat="false" ht="15" hidden="false" customHeight="true" outlineLevel="0" collapsed="false">
      <c r="A125" s="3" t="s">
        <v>2275</v>
      </c>
      <c r="B125" s="3" t="s">
        <v>809</v>
      </c>
      <c r="C125" s="3" t="s">
        <v>2250</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2276</v>
      </c>
      <c r="B127" s="28"/>
      <c r="C127" s="28"/>
      <c r="D127" s="28"/>
      <c r="E127" s="28"/>
      <c r="F127" s="28"/>
    </row>
    <row r="128" customFormat="false" ht="15" hidden="false" customHeight="true" outlineLevel="0" collapsed="false">
      <c r="A128" s="29" t="s">
        <v>2277</v>
      </c>
      <c r="B128" s="29" t="s">
        <v>2278</v>
      </c>
      <c r="C128" s="29" t="s">
        <v>24</v>
      </c>
      <c r="D128" s="27"/>
      <c r="E128" s="27"/>
      <c r="F128" s="27"/>
    </row>
    <row r="129" customFormat="false" ht="15" hidden="false" customHeight="true" outlineLevel="0" collapsed="false">
      <c r="A129" s="3" t="s">
        <v>2279</v>
      </c>
      <c r="B129" s="3" t="s">
        <v>152</v>
      </c>
      <c r="C129" s="3" t="s">
        <v>797</v>
      </c>
      <c r="D129" s="27"/>
      <c r="E129" s="27"/>
      <c r="F129" s="27"/>
    </row>
    <row r="130" customFormat="false" ht="34.5" hidden="false" customHeight="true" outlineLevel="0" collapsed="false">
      <c r="A130" s="3" t="s">
        <v>2280</v>
      </c>
      <c r="B130" s="3" t="s">
        <v>993</v>
      </c>
      <c r="C130" s="3" t="s">
        <v>797</v>
      </c>
      <c r="D130" s="27"/>
      <c r="E130" s="27"/>
      <c r="F130" s="27"/>
    </row>
    <row r="131" customFormat="false" ht="15" hidden="false" customHeight="true" outlineLevel="0" collapsed="false">
      <c r="A131" s="3" t="s">
        <v>2281</v>
      </c>
      <c r="B131" s="3" t="s">
        <v>994</v>
      </c>
      <c r="C131" s="3" t="s">
        <v>797</v>
      </c>
      <c r="D131" s="27"/>
      <c r="E131" s="27"/>
      <c r="F131" s="27"/>
    </row>
    <row r="132" customFormat="false" ht="15" hidden="false" customHeight="true" outlineLevel="0" collapsed="false">
      <c r="A132" s="3" t="s">
        <v>2227</v>
      </c>
      <c r="B132" s="3" t="s">
        <v>995</v>
      </c>
      <c r="C132" s="3" t="s">
        <v>801</v>
      </c>
      <c r="D132" s="27"/>
      <c r="E132" s="27"/>
      <c r="F132" s="27"/>
    </row>
    <row r="133" customFormat="false" ht="15" hidden="false" customHeight="true" outlineLevel="0" collapsed="false">
      <c r="A133" s="3" t="s">
        <v>2229</v>
      </c>
      <c r="B133" s="3" t="s">
        <v>809</v>
      </c>
      <c r="C133" s="3" t="s">
        <v>804</v>
      </c>
      <c r="D133" s="27"/>
      <c r="E133" s="27"/>
      <c r="F133" s="27"/>
    </row>
    <row r="134" customFormat="false" ht="15" hidden="false" customHeight="true" outlineLevel="0" collapsed="false">
      <c r="A134" s="3" t="s">
        <v>2230</v>
      </c>
      <c r="B134" s="3" t="s">
        <v>809</v>
      </c>
      <c r="C134" s="3" t="s">
        <v>804</v>
      </c>
      <c r="D134" s="27"/>
      <c r="E134" s="27"/>
      <c r="F134" s="27"/>
    </row>
    <row r="135" customFormat="false" ht="34.5" hidden="false" customHeight="true" outlineLevel="0" collapsed="false">
      <c r="A135" s="3" t="s">
        <v>2282</v>
      </c>
      <c r="B135" s="3" t="s">
        <v>997</v>
      </c>
      <c r="C135" s="3" t="s">
        <v>996</v>
      </c>
      <c r="D135" s="27"/>
      <c r="E135" s="27"/>
      <c r="F135" s="27"/>
    </row>
    <row r="136" customFormat="false" ht="23.25" hidden="false" customHeight="true" outlineLevel="0" collapsed="false">
      <c r="A136" s="3" t="s">
        <v>2283</v>
      </c>
      <c r="B136" s="3" t="s">
        <v>998</v>
      </c>
      <c r="C136" s="3" t="s">
        <v>955</v>
      </c>
      <c r="D136" s="27"/>
      <c r="E136" s="27"/>
      <c r="F136" s="27"/>
    </row>
    <row r="137" customFormat="false" ht="15" hidden="false" customHeight="true" outlineLevel="0" collapsed="false">
      <c r="A137" s="3" t="s">
        <v>2284</v>
      </c>
      <c r="B137" s="3" t="s">
        <v>809</v>
      </c>
      <c r="C137" s="3" t="s">
        <v>867</v>
      </c>
      <c r="D137" s="27"/>
      <c r="E137" s="27"/>
      <c r="F137" s="27"/>
    </row>
    <row r="138" customFormat="false" ht="15" hidden="false" customHeight="true" outlineLevel="0" collapsed="false">
      <c r="A138" s="27"/>
      <c r="B138" s="27"/>
      <c r="C138" s="27"/>
      <c r="D138" s="27"/>
      <c r="E138" s="27"/>
      <c r="F138" s="27"/>
    </row>
    <row r="139" customFormat="false" ht="15" hidden="false" customHeight="true" outlineLevel="0" collapsed="false">
      <c r="A139" s="28" t="s">
        <v>2285</v>
      </c>
      <c r="B139" s="28"/>
      <c r="C139" s="28"/>
      <c r="D139" s="28"/>
      <c r="E139" s="28"/>
      <c r="F139" s="28"/>
    </row>
    <row r="140" customFormat="false" ht="15" hidden="false" customHeight="true" outlineLevel="0" collapsed="false">
      <c r="A140" s="29" t="s">
        <v>1553</v>
      </c>
      <c r="B140" s="29" t="s">
        <v>1554</v>
      </c>
      <c r="C140" s="29" t="s">
        <v>1555</v>
      </c>
      <c r="D140" s="29" t="s">
        <v>1556</v>
      </c>
      <c r="E140" s="29" t="s">
        <v>1557</v>
      </c>
      <c r="F140" s="27"/>
    </row>
    <row r="141" customFormat="false" ht="68.25" hidden="false" customHeight="true" outlineLevel="0" collapsed="false">
      <c r="A141" s="3" t="s">
        <v>1558</v>
      </c>
      <c r="B141" s="3" t="s">
        <v>1695</v>
      </c>
      <c r="C141" s="3" t="s">
        <v>1696</v>
      </c>
      <c r="D141" s="3" t="s">
        <v>1697</v>
      </c>
      <c r="E141" s="3" t="s">
        <v>1698</v>
      </c>
      <c r="F141" s="27"/>
    </row>
    <row r="142" customFormat="false" ht="15" hidden="false" customHeight="true" outlineLevel="0" collapsed="false">
      <c r="A142" s="3" t="s">
        <v>1558</v>
      </c>
      <c r="B142" s="3" t="s">
        <v>1699</v>
      </c>
      <c r="C142" s="3" t="s">
        <v>1700</v>
      </c>
      <c r="D142" s="3" t="s">
        <v>1701</v>
      </c>
      <c r="E142" s="3" t="s">
        <v>1702</v>
      </c>
      <c r="F142" s="27"/>
    </row>
    <row r="143" customFormat="false" ht="15" hidden="false" customHeight="true" outlineLevel="0" collapsed="false">
      <c r="A143" s="3" t="s">
        <v>1558</v>
      </c>
      <c r="B143" s="3" t="s">
        <v>1703</v>
      </c>
      <c r="C143" s="3" t="s">
        <v>1704</v>
      </c>
      <c r="D143" s="3" t="s">
        <v>1705</v>
      </c>
      <c r="E143" s="3" t="s">
        <v>1706</v>
      </c>
      <c r="F143" s="27"/>
    </row>
    <row r="144" customFormat="false" ht="45.75" hidden="false" customHeight="true" outlineLevel="0" collapsed="false">
      <c r="A144" s="3" t="s">
        <v>1707</v>
      </c>
      <c r="B144" s="3" t="s">
        <v>1708</v>
      </c>
      <c r="C144" s="3" t="s">
        <v>1709</v>
      </c>
      <c r="D144" s="3" t="s">
        <v>1710</v>
      </c>
      <c r="E144" s="3" t="s">
        <v>1711</v>
      </c>
      <c r="F144" s="27"/>
    </row>
    <row r="145" customFormat="false" ht="45.75" hidden="false" customHeight="true" outlineLevel="0" collapsed="false">
      <c r="A145" s="3" t="s">
        <v>1707</v>
      </c>
      <c r="B145" s="3" t="s">
        <v>1712</v>
      </c>
      <c r="C145" s="3" t="s">
        <v>1709</v>
      </c>
      <c r="D145" s="3" t="s">
        <v>1713</v>
      </c>
      <c r="E145" s="3" t="s">
        <v>1714</v>
      </c>
      <c r="F145" s="27"/>
    </row>
    <row r="146" customFormat="false" ht="23.25" hidden="false" customHeight="true" outlineLevel="0" collapsed="false">
      <c r="A146" s="3" t="s">
        <v>1575</v>
      </c>
      <c r="B146" s="3" t="s">
        <v>1715</v>
      </c>
      <c r="C146" s="3" t="s">
        <v>1716</v>
      </c>
      <c r="D146" s="3" t="s">
        <v>1717</v>
      </c>
      <c r="E146" s="3" t="s">
        <v>1718</v>
      </c>
      <c r="F146" s="27"/>
    </row>
    <row r="147" customFormat="false" ht="34.5" hidden="false" customHeight="true" outlineLevel="0" collapsed="false">
      <c r="A147" s="3" t="s">
        <v>1596</v>
      </c>
      <c r="B147" s="3" t="s">
        <v>1719</v>
      </c>
      <c r="C147" s="3" t="s">
        <v>1720</v>
      </c>
      <c r="D147" s="3" t="s">
        <v>1721</v>
      </c>
      <c r="E147" s="3" t="s">
        <v>155</v>
      </c>
      <c r="F147" s="27"/>
    </row>
    <row r="148" customFormat="false" ht="34.5" hidden="false" customHeight="true" outlineLevel="0" collapsed="false">
      <c r="A148" s="3" t="s">
        <v>1596</v>
      </c>
      <c r="B148" s="3" t="s">
        <v>1722</v>
      </c>
      <c r="C148" s="3" t="s">
        <v>1723</v>
      </c>
      <c r="D148" s="3" t="s">
        <v>1724</v>
      </c>
      <c r="E148" s="3" t="s">
        <v>1725</v>
      </c>
      <c r="F148" s="27"/>
    </row>
    <row r="149" customFormat="false" ht="45.75" hidden="false" customHeight="true" outlineLevel="0" collapsed="false">
      <c r="A149" s="3" t="s">
        <v>1596</v>
      </c>
      <c r="B149" s="3" t="s">
        <v>1726</v>
      </c>
      <c r="C149" s="3" t="s">
        <v>1723</v>
      </c>
      <c r="D149" s="3" t="s">
        <v>1727</v>
      </c>
      <c r="E149" s="3" t="s">
        <v>1728</v>
      </c>
      <c r="F149" s="27"/>
    </row>
    <row r="150" customFormat="false" ht="34.5" hidden="false" customHeight="true" outlineLevel="0" collapsed="false">
      <c r="A150" s="3" t="s">
        <v>1729</v>
      </c>
      <c r="B150" s="3" t="s">
        <v>1730</v>
      </c>
      <c r="C150" s="3" t="s">
        <v>1704</v>
      </c>
      <c r="D150" s="3" t="s">
        <v>1731</v>
      </c>
      <c r="E150" s="3" t="s">
        <v>1732</v>
      </c>
      <c r="F150" s="27"/>
    </row>
    <row r="151" customFormat="false" ht="23.25" hidden="false" customHeight="true" outlineLevel="0" collapsed="false">
      <c r="A151" s="3" t="s">
        <v>1729</v>
      </c>
      <c r="B151" s="3" t="s">
        <v>1733</v>
      </c>
      <c r="C151" s="3" t="s">
        <v>809</v>
      </c>
      <c r="D151" s="3" t="s">
        <v>1734</v>
      </c>
      <c r="E151" s="3" t="s">
        <v>1735</v>
      </c>
      <c r="F151" s="27"/>
    </row>
    <row r="152" customFormat="false" ht="23.25" hidden="false" customHeight="true" outlineLevel="0" collapsed="false">
      <c r="A152" s="3" t="s">
        <v>1729</v>
      </c>
      <c r="B152" s="3" t="s">
        <v>1736</v>
      </c>
      <c r="C152" s="3" t="s">
        <v>809</v>
      </c>
      <c r="D152" s="3" t="s">
        <v>1737</v>
      </c>
      <c r="E152" s="3" t="s">
        <v>1738</v>
      </c>
      <c r="F152" s="27"/>
    </row>
    <row r="153" customFormat="false" ht="57" hidden="false" customHeight="true" outlineLevel="0" collapsed="false">
      <c r="A153" s="3" t="s">
        <v>1596</v>
      </c>
      <c r="B153" s="3" t="s">
        <v>1739</v>
      </c>
      <c r="C153" s="3" t="s">
        <v>1740</v>
      </c>
      <c r="D153" s="3" t="s">
        <v>1741</v>
      </c>
      <c r="E153" s="3" t="s">
        <v>1742</v>
      </c>
      <c r="F153" s="27"/>
    </row>
    <row r="154" customFormat="false" ht="15" hidden="false" customHeight="true" outlineLevel="0" collapsed="false">
      <c r="A154" s="27"/>
      <c r="B154" s="27"/>
      <c r="C154" s="27"/>
      <c r="D154" s="27"/>
      <c r="E154" s="27"/>
      <c r="F154" s="27"/>
    </row>
    <row r="155" customFormat="false" ht="15" hidden="false" customHeight="true" outlineLevel="0" collapsed="false">
      <c r="A155" s="28" t="s">
        <v>744</v>
      </c>
      <c r="B155" s="28"/>
      <c r="C155" s="28"/>
      <c r="D155" s="28"/>
      <c r="E155" s="28"/>
      <c r="F155" s="28"/>
    </row>
    <row r="156" customFormat="false" ht="15" hidden="false" customHeight="true" outlineLevel="0" collapsed="false">
      <c r="A156" s="29" t="s">
        <v>2265</v>
      </c>
      <c r="B156" s="30" t="s">
        <v>999</v>
      </c>
      <c r="C156" s="30"/>
      <c r="D156" s="30"/>
      <c r="E156" s="30"/>
      <c r="F156" s="30"/>
    </row>
  </sheetData>
  <mergeCells count="7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A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 ref="A62:F62"/>
    <mergeCell ref="B63:F63"/>
    <mergeCell ref="B64:F64"/>
    <mergeCell ref="B65:F65"/>
    <mergeCell ref="A67:F67"/>
    <mergeCell ref="B68:F68"/>
    <mergeCell ref="B69:F69"/>
    <mergeCell ref="B70:F70"/>
    <mergeCell ref="B84:F84"/>
    <mergeCell ref="B85:F85"/>
    <mergeCell ref="B86:F86"/>
    <mergeCell ref="B87:F87"/>
    <mergeCell ref="A89:F89"/>
    <mergeCell ref="B90:F90"/>
    <mergeCell ref="B91:F91"/>
    <mergeCell ref="B92:F92"/>
    <mergeCell ref="A94:F94"/>
    <mergeCell ref="A114:F114"/>
    <mergeCell ref="A127:F127"/>
    <mergeCell ref="A139:F139"/>
    <mergeCell ref="A155:F155"/>
    <mergeCell ref="B156:F1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2294</v>
      </c>
    </row>
    <row r="2" customFormat="false" ht="24.75" hidden="false" customHeight="true" outlineLevel="0" collapsed="false">
      <c r="A2" s="26" t="s">
        <v>2295</v>
      </c>
      <c r="B2" s="27"/>
      <c r="C2" s="27"/>
      <c r="D2" s="27"/>
      <c r="E2" s="27"/>
      <c r="F2" s="27"/>
    </row>
    <row r="3" customFormat="false" ht="23.25" hidden="false" customHeight="true" outlineLevel="0" collapsed="false">
      <c r="A3" s="4" t="s">
        <v>1000</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750</v>
      </c>
      <c r="C7" s="30"/>
      <c r="D7" s="30"/>
      <c r="E7" s="30"/>
      <c r="F7" s="30"/>
    </row>
    <row r="8" customFormat="false" ht="15" hidden="false" customHeight="true" outlineLevel="0" collapsed="false">
      <c r="A8" s="29" t="s">
        <v>2156</v>
      </c>
      <c r="B8" s="30" t="s">
        <v>2162</v>
      </c>
      <c r="C8" s="30"/>
      <c r="D8" s="30"/>
      <c r="E8" s="30"/>
      <c r="F8" s="30"/>
    </row>
    <row r="9" customFormat="false" ht="15" hidden="false" customHeight="true" outlineLevel="0" collapsed="false">
      <c r="A9" s="29" t="s">
        <v>2157</v>
      </c>
      <c r="B9" s="30" t="s">
        <v>2163</v>
      </c>
      <c r="C9" s="30"/>
      <c r="D9" s="30"/>
      <c r="E9" s="30"/>
      <c r="F9" s="30"/>
    </row>
    <row r="10" customFormat="false" ht="15" hidden="false" customHeight="true" outlineLevel="0" collapsed="false">
      <c r="A10" s="29" t="s">
        <v>2158</v>
      </c>
      <c r="B10" s="30" t="s">
        <v>2164</v>
      </c>
      <c r="C10" s="30"/>
      <c r="D10" s="30"/>
      <c r="E10" s="30"/>
      <c r="F10" s="30"/>
    </row>
    <row r="11" customFormat="false" ht="15" hidden="false" customHeight="true" outlineLevel="0" collapsed="false">
      <c r="A11" s="29" t="s">
        <v>2159</v>
      </c>
      <c r="B11" s="30"/>
      <c r="C11" s="30"/>
      <c r="D11" s="30"/>
      <c r="E11" s="30"/>
      <c r="F11" s="30"/>
    </row>
    <row r="12" customFormat="false" ht="15" hidden="false" customHeight="true" outlineLevel="0" collapsed="false">
      <c r="A12" s="29" t="s">
        <v>2160</v>
      </c>
      <c r="B12" s="30" t="s">
        <v>2165</v>
      </c>
      <c r="C12" s="30"/>
      <c r="D12" s="30"/>
      <c r="E12" s="30"/>
      <c r="F12" s="30"/>
    </row>
    <row r="13" customFormat="false" ht="15" hidden="false" customHeight="true" outlineLevel="0" collapsed="false">
      <c r="A13" s="29" t="s">
        <v>2161</v>
      </c>
      <c r="B13" s="30" t="s">
        <v>2166</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84</v>
      </c>
      <c r="C16" s="30"/>
      <c r="D16" s="30"/>
      <c r="E16" s="30"/>
      <c r="F16" s="30"/>
    </row>
    <row r="17" customFormat="false" ht="15" hidden="false" customHeight="true" outlineLevel="0" collapsed="false">
      <c r="A17" s="29" t="s">
        <v>627</v>
      </c>
      <c r="B17" s="30" t="s">
        <v>750</v>
      </c>
      <c r="C17" s="30"/>
      <c r="D17" s="30"/>
      <c r="E17" s="30"/>
      <c r="F17" s="30"/>
    </row>
    <row r="18" customFormat="false" ht="15" hidden="false" customHeight="true" outlineLevel="0" collapsed="false">
      <c r="A18" s="29" t="s">
        <v>628</v>
      </c>
      <c r="B18" s="31" t="s">
        <v>1002</v>
      </c>
      <c r="C18" s="31"/>
      <c r="D18" s="31"/>
      <c r="E18" s="31"/>
      <c r="F18" s="31"/>
    </row>
    <row r="19" customFormat="false" ht="15" hidden="false" customHeight="true" outlineLevel="0" collapsed="false">
      <c r="A19" s="29" t="s">
        <v>629</v>
      </c>
      <c r="B19" s="30" t="s">
        <v>752</v>
      </c>
      <c r="C19" s="30"/>
      <c r="D19" s="30"/>
      <c r="E19" s="30"/>
      <c r="F19" s="30"/>
    </row>
    <row r="20" customFormat="false" ht="15" hidden="false" customHeight="true" outlineLevel="0" collapsed="false">
      <c r="A20" s="29" t="s">
        <v>630</v>
      </c>
      <c r="B20" s="30" t="s">
        <v>1003</v>
      </c>
      <c r="C20" s="30"/>
      <c r="D20" s="30"/>
      <c r="E20" s="30"/>
      <c r="F20" s="30"/>
    </row>
    <row r="21" customFormat="false" ht="15" hidden="false" customHeight="true" outlineLevel="0" collapsed="false">
      <c r="A21" s="29" t="s">
        <v>631</v>
      </c>
      <c r="B21" s="30" t="s">
        <v>818</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86</v>
      </c>
      <c r="C25" s="31"/>
      <c r="D25" s="31"/>
      <c r="E25" s="31"/>
      <c r="F25" s="31"/>
    </row>
    <row r="26" customFormat="false" ht="15" hidden="false" customHeight="true" outlineLevel="0" collapsed="false">
      <c r="A26" s="29" t="s">
        <v>635</v>
      </c>
      <c r="B26" s="30" t="s">
        <v>85</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1004</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1005</v>
      </c>
      <c r="C31" s="30"/>
      <c r="D31" s="30"/>
      <c r="E31" s="30"/>
      <c r="F31" s="30"/>
    </row>
    <row r="32" customFormat="false" ht="15" hidden="false" customHeight="true" outlineLevel="0" collapsed="false">
      <c r="A32" s="29" t="s">
        <v>641</v>
      </c>
      <c r="B32" s="30" t="s">
        <v>1006</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1007</v>
      </c>
      <c r="C36" s="30"/>
      <c r="D36" s="30"/>
      <c r="E36" s="30"/>
      <c r="F36" s="30"/>
    </row>
    <row r="37" customFormat="false" ht="15" hidden="false" customHeight="true" outlineLevel="0" collapsed="false">
      <c r="A37" s="29" t="s">
        <v>644</v>
      </c>
      <c r="B37" s="31" t="s">
        <v>1008</v>
      </c>
      <c r="C37" s="31"/>
      <c r="D37" s="31"/>
      <c r="E37" s="31"/>
      <c r="F37" s="31"/>
    </row>
    <row r="38" customFormat="false" ht="15" hidden="false" customHeight="true" outlineLevel="0" collapsed="false">
      <c r="A38" s="29" t="s">
        <v>645</v>
      </c>
      <c r="B38" s="30" t="s">
        <v>88</v>
      </c>
      <c r="C38" s="30"/>
      <c r="D38" s="30"/>
      <c r="E38" s="30"/>
      <c r="F38" s="30"/>
    </row>
    <row r="39" customFormat="false" ht="15" hidden="false" customHeight="true" outlineLevel="0" collapsed="false">
      <c r="A39" s="29" t="s">
        <v>646</v>
      </c>
      <c r="B39" s="30" t="s">
        <v>1009</v>
      </c>
      <c r="C39" s="30"/>
      <c r="D39" s="30"/>
      <c r="E39" s="30"/>
      <c r="F39" s="30"/>
    </row>
    <row r="40" customFormat="false" ht="15" hidden="false" customHeight="true" outlineLevel="0" collapsed="false">
      <c r="A40" s="29" t="s">
        <v>647</v>
      </c>
      <c r="B40" s="30" t="s">
        <v>1010</v>
      </c>
      <c r="C40" s="30"/>
      <c r="D40" s="30"/>
      <c r="E40" s="30"/>
      <c r="F40" s="30"/>
    </row>
    <row r="41" customFormat="false" ht="23.25" hidden="false" customHeight="true" outlineLevel="0" collapsed="false">
      <c r="A41" s="29" t="s">
        <v>648</v>
      </c>
      <c r="B41" s="30" t="s">
        <v>1011</v>
      </c>
      <c r="C41" s="30"/>
      <c r="D41" s="30"/>
      <c r="E41" s="30"/>
      <c r="F41" s="30"/>
    </row>
    <row r="42" customFormat="false" ht="15" hidden="false" customHeight="true" outlineLevel="0" collapsed="false">
      <c r="A42" s="29" t="s">
        <v>649</v>
      </c>
      <c r="B42" s="30" t="s">
        <v>976</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881</v>
      </c>
      <c r="C44" s="30"/>
      <c r="D44" s="30"/>
      <c r="E44" s="30"/>
      <c r="F44" s="30"/>
    </row>
    <row r="45" customFormat="false" ht="15" hidden="false" customHeight="true" outlineLevel="0" collapsed="false">
      <c r="A45" s="29" t="s">
        <v>652</v>
      </c>
      <c r="B45" s="30" t="s">
        <v>1012</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773</v>
      </c>
      <c r="C47" s="30"/>
      <c r="D47" s="30"/>
      <c r="E47" s="30"/>
      <c r="F47" s="30"/>
    </row>
    <row r="48" customFormat="false" ht="23.25" hidden="false" customHeight="true" outlineLevel="0" collapsed="false">
      <c r="A48" s="29" t="s">
        <v>655</v>
      </c>
      <c r="B48" s="30" t="s">
        <v>772</v>
      </c>
      <c r="C48" s="30"/>
      <c r="D48" s="30"/>
      <c r="E48" s="30"/>
      <c r="F48" s="30"/>
    </row>
    <row r="49" customFormat="false" ht="15" hidden="false" customHeight="true" outlineLevel="0" collapsed="false">
      <c r="A49" s="29" t="s">
        <v>656</v>
      </c>
      <c r="B49" s="30" t="s">
        <v>1013</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1014</v>
      </c>
      <c r="C52" s="30"/>
      <c r="D52" s="30"/>
      <c r="E52" s="30"/>
      <c r="F52" s="30"/>
    </row>
    <row r="53" customFormat="false" ht="15" hidden="false" customHeight="true" outlineLevel="0" collapsed="false">
      <c r="A53" s="29" t="s">
        <v>658</v>
      </c>
      <c r="B53" s="30" t="s">
        <v>1015</v>
      </c>
      <c r="C53" s="30"/>
      <c r="D53" s="30"/>
      <c r="E53" s="30"/>
      <c r="F53" s="30"/>
    </row>
    <row r="54" customFormat="false" ht="15" hidden="false" customHeight="true" outlineLevel="0" collapsed="false">
      <c r="A54" s="29" t="s">
        <v>659</v>
      </c>
      <c r="B54" s="30" t="s">
        <v>1016</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2296</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7"/>
      <c r="E62" s="27"/>
      <c r="F62" s="27"/>
    </row>
    <row r="63" customFormat="false" ht="15" hidden="false" customHeight="true" outlineLevel="0" collapsed="false">
      <c r="A63" s="3" t="s">
        <v>1355</v>
      </c>
      <c r="B63" s="3" t="s">
        <v>59</v>
      </c>
      <c r="C63" s="3" t="s">
        <v>1372</v>
      </c>
      <c r="D63" s="27"/>
      <c r="E63" s="27"/>
      <c r="F63" s="27"/>
    </row>
    <row r="64" customFormat="false" ht="15" hidden="false" customHeight="true" outlineLevel="0" collapsed="false">
      <c r="A64" s="3" t="s">
        <v>1356</v>
      </c>
      <c r="B64" s="3" t="s">
        <v>60</v>
      </c>
      <c r="C64" s="3" t="s">
        <v>128</v>
      </c>
      <c r="D64" s="27"/>
      <c r="E64" s="27"/>
      <c r="F64" s="27"/>
    </row>
    <row r="65" customFormat="false" ht="26.25" hidden="false" customHeight="true" outlineLevel="0" collapsed="false">
      <c r="A65" s="3" t="s">
        <v>1357</v>
      </c>
      <c r="B65" s="3" t="s">
        <v>1423</v>
      </c>
      <c r="C65" s="3" t="s">
        <v>1429</v>
      </c>
      <c r="D65" s="27"/>
      <c r="E65" s="27"/>
      <c r="F65" s="27"/>
    </row>
    <row r="66" customFormat="false" ht="34.5" hidden="false" customHeight="true" outlineLevel="0" collapsed="false">
      <c r="A66" s="3" t="s">
        <v>1358</v>
      </c>
      <c r="B66" s="3" t="s">
        <v>1424</v>
      </c>
      <c r="C66" s="3" t="s">
        <v>1430</v>
      </c>
      <c r="D66" s="27"/>
      <c r="E66" s="27"/>
      <c r="F66" s="27"/>
    </row>
    <row r="67" customFormat="false" ht="24.75" hidden="false" customHeight="true" outlineLevel="0" collapsed="false">
      <c r="A67" s="3" t="s">
        <v>1359</v>
      </c>
      <c r="B67" s="3" t="s">
        <v>1425</v>
      </c>
      <c r="C67" s="3" t="s">
        <v>1431</v>
      </c>
      <c r="D67" s="27"/>
      <c r="E67" s="27"/>
      <c r="F67" s="27"/>
    </row>
    <row r="68" customFormat="false" ht="37.5" hidden="false" customHeight="true" outlineLevel="0" collapsed="false">
      <c r="A68" s="3" t="s">
        <v>1360</v>
      </c>
      <c r="B68" s="3" t="s">
        <v>1426</v>
      </c>
      <c r="C68" s="3" t="s">
        <v>1432</v>
      </c>
      <c r="D68" s="27"/>
      <c r="E68" s="27"/>
      <c r="F68" s="27"/>
    </row>
    <row r="69" customFormat="false" ht="26.25" hidden="false" customHeight="true" outlineLevel="0" collapsed="false">
      <c r="A69" s="3" t="s">
        <v>1361</v>
      </c>
      <c r="B69" s="3" t="s">
        <v>1427</v>
      </c>
      <c r="C69" s="3" t="s">
        <v>1378</v>
      </c>
      <c r="D69" s="27"/>
      <c r="E69" s="27"/>
      <c r="F69" s="27"/>
    </row>
    <row r="70" customFormat="false" ht="85.5" hidden="false" customHeight="true" outlineLevel="0" collapsed="false">
      <c r="A70" s="3" t="s">
        <v>1362</v>
      </c>
      <c r="B70" s="3" t="s">
        <v>1428</v>
      </c>
      <c r="C70" s="3" t="s">
        <v>1433</v>
      </c>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1018</v>
      </c>
      <c r="C74" s="30"/>
      <c r="D74" s="30"/>
      <c r="E74" s="30"/>
      <c r="F74" s="30"/>
    </row>
    <row r="75" customFormat="false" ht="15" hidden="false" customHeight="true" outlineLevel="0" collapsed="false">
      <c r="A75" s="29" t="s">
        <v>1359</v>
      </c>
      <c r="B75" s="30" t="s">
        <v>1019</v>
      </c>
      <c r="C75" s="30"/>
      <c r="D75" s="30"/>
      <c r="E75" s="30"/>
      <c r="F75" s="30"/>
    </row>
    <row r="76" customFormat="false" ht="23.25" hidden="false" customHeight="true" outlineLevel="0" collapsed="false">
      <c r="A76" s="29" t="s">
        <v>2239</v>
      </c>
      <c r="B76" s="30" t="s">
        <v>1020</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58.5" hidden="false" customHeight="true" outlineLevel="0" collapsed="false">
      <c r="A79" s="29" t="s">
        <v>669</v>
      </c>
      <c r="B79" s="30" t="s">
        <v>1021</v>
      </c>
      <c r="C79" s="30"/>
      <c r="D79" s="30"/>
      <c r="E79" s="30"/>
      <c r="F79" s="30"/>
    </row>
    <row r="80" customFormat="false" ht="34.5" hidden="false" customHeight="true" outlineLevel="0" collapsed="false">
      <c r="A80" s="29" t="s">
        <v>670</v>
      </c>
      <c r="B80" s="30" t="s">
        <v>1022</v>
      </c>
      <c r="C80" s="30"/>
      <c r="D80" s="30"/>
      <c r="E80" s="30"/>
      <c r="F80" s="30"/>
    </row>
    <row r="81" customFormat="false" ht="45.75" hidden="false" customHeight="true" outlineLevel="0" collapsed="false">
      <c r="A81" s="29" t="s">
        <v>671</v>
      </c>
      <c r="B81" s="30" t="s">
        <v>1023</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36" hidden="false" customHeight="true" outlineLevel="0" collapsed="false">
      <c r="A85" s="3" t="s">
        <v>2245</v>
      </c>
      <c r="B85" s="3" t="s">
        <v>1024</v>
      </c>
      <c r="C85" s="3" t="s">
        <v>2246</v>
      </c>
      <c r="D85" s="27"/>
      <c r="E85" s="27"/>
      <c r="F85" s="27"/>
    </row>
    <row r="86" customFormat="false" ht="34.5" hidden="false" customHeight="true" outlineLevel="0" collapsed="false">
      <c r="A86" s="3" t="s">
        <v>2289</v>
      </c>
      <c r="B86" s="3" t="s">
        <v>1025</v>
      </c>
      <c r="C86" s="3" t="s">
        <v>2250</v>
      </c>
      <c r="D86" s="27"/>
      <c r="E86" s="27"/>
      <c r="F86" s="27"/>
    </row>
    <row r="87" customFormat="false" ht="34.5" hidden="false" customHeight="true" outlineLevel="0" collapsed="false">
      <c r="A87" s="3" t="s">
        <v>2248</v>
      </c>
      <c r="B87" s="3" t="s">
        <v>1026</v>
      </c>
      <c r="C87" s="3" t="s">
        <v>2246</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23.25" hidden="false" customHeight="true" outlineLevel="0" collapsed="false">
      <c r="A92" s="3" t="s">
        <v>2254</v>
      </c>
      <c r="B92" s="3" t="s">
        <v>1027</v>
      </c>
      <c r="C92" s="3" t="s">
        <v>2246</v>
      </c>
      <c r="D92" s="27"/>
      <c r="E92" s="27"/>
      <c r="F92" s="27"/>
    </row>
    <row r="93" customFormat="false" ht="15" hidden="false" customHeight="true" outlineLevel="0" collapsed="false">
      <c r="A93" s="3" t="s">
        <v>2255</v>
      </c>
      <c r="B93" s="3" t="s">
        <v>809</v>
      </c>
      <c r="C93" s="3" t="s">
        <v>2250</v>
      </c>
      <c r="D93" s="27"/>
      <c r="E93" s="27"/>
      <c r="F93" s="27"/>
    </row>
    <row r="94" customFormat="false" ht="15" hidden="false" customHeight="true" outlineLevel="0" collapsed="false">
      <c r="A94" s="3" t="s">
        <v>2256</v>
      </c>
      <c r="B94" s="3" t="s">
        <v>809</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15" hidden="false" customHeight="true" outlineLevel="0" collapsed="false">
      <c r="A96" s="3" t="s">
        <v>2258</v>
      </c>
      <c r="B96" s="3" t="s">
        <v>809</v>
      </c>
      <c r="C96" s="3" t="s">
        <v>2250</v>
      </c>
      <c r="D96" s="27"/>
      <c r="E96" s="27"/>
      <c r="F96" s="27"/>
    </row>
    <row r="97" customFormat="false" ht="23.25" hidden="false" customHeight="true" outlineLevel="0" collapsed="false">
      <c r="A97" s="3" t="s">
        <v>2259</v>
      </c>
      <c r="B97" s="3" t="s">
        <v>1028</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47.25" hidden="false" customHeight="true" outlineLevel="0" collapsed="false">
      <c r="A99" s="3" t="s">
        <v>2261</v>
      </c>
      <c r="B99" s="3" t="s">
        <v>1029</v>
      </c>
      <c r="C99" s="3" t="s">
        <v>2246</v>
      </c>
      <c r="D99" s="27"/>
      <c r="E99" s="27"/>
      <c r="F99" s="27"/>
    </row>
    <row r="100" customFormat="false" ht="15" hidden="false" customHeight="true" outlineLevel="0" collapsed="false">
      <c r="A100" s="3" t="s">
        <v>2262</v>
      </c>
      <c r="B100" s="3" t="s">
        <v>809</v>
      </c>
      <c r="C100" s="3" t="s">
        <v>2250</v>
      </c>
      <c r="D100" s="27"/>
      <c r="E100" s="27"/>
      <c r="F100" s="27"/>
    </row>
    <row r="101" customFormat="false" ht="15" hidden="false" customHeight="true" outlineLevel="0" collapsed="false">
      <c r="A101" s="27"/>
      <c r="B101" s="27"/>
      <c r="C101" s="27"/>
      <c r="D101" s="27"/>
      <c r="E101" s="27"/>
      <c r="F101" s="27"/>
    </row>
    <row r="102" customFormat="false" ht="15" hidden="false" customHeight="true" outlineLevel="0" collapsed="false">
      <c r="A102" s="28" t="s">
        <v>2263</v>
      </c>
      <c r="B102" s="28"/>
      <c r="C102" s="28"/>
      <c r="D102" s="28"/>
      <c r="E102" s="28"/>
      <c r="F102" s="28"/>
    </row>
    <row r="103" customFormat="false" ht="15" hidden="false" customHeight="true" outlineLevel="0" collapsed="false">
      <c r="A103" s="29" t="s">
        <v>2264</v>
      </c>
      <c r="B103" s="29" t="s">
        <v>2265</v>
      </c>
      <c r="C103" s="29" t="s">
        <v>2244</v>
      </c>
      <c r="D103" s="27"/>
      <c r="E103" s="27"/>
      <c r="F103" s="27"/>
    </row>
    <row r="104" customFormat="false" ht="15" hidden="false" customHeight="true" outlineLevel="0" collapsed="false">
      <c r="A104" s="3" t="s">
        <v>2266</v>
      </c>
      <c r="B104" s="3" t="s">
        <v>809</v>
      </c>
      <c r="C104" s="3" t="s">
        <v>2250</v>
      </c>
      <c r="D104" s="27"/>
      <c r="E104" s="27"/>
      <c r="F104" s="27"/>
    </row>
    <row r="105" customFormat="false" ht="15" hidden="false" customHeight="true" outlineLevel="0" collapsed="false">
      <c r="A105" s="3" t="s">
        <v>2267</v>
      </c>
      <c r="B105" s="3" t="s">
        <v>809</v>
      </c>
      <c r="C105" s="3" t="s">
        <v>2250</v>
      </c>
      <c r="D105" s="27"/>
      <c r="E105" s="27"/>
      <c r="F105" s="27"/>
    </row>
    <row r="106" customFormat="false" ht="24.75" hidden="false" customHeight="true" outlineLevel="0" collapsed="false">
      <c r="A106" s="3" t="s">
        <v>2268</v>
      </c>
      <c r="B106" s="3" t="s">
        <v>1030</v>
      </c>
      <c r="C106" s="3" t="s">
        <v>2250</v>
      </c>
      <c r="D106" s="27"/>
      <c r="E106" s="27"/>
      <c r="F106" s="27"/>
    </row>
    <row r="107" customFormat="false" ht="15" hidden="false" customHeight="true" outlineLevel="0" collapsed="false">
      <c r="A107" s="3" t="s">
        <v>2269</v>
      </c>
      <c r="B107" s="3" t="s">
        <v>809</v>
      </c>
      <c r="C107" s="3" t="s">
        <v>2250</v>
      </c>
      <c r="D107" s="27"/>
      <c r="E107" s="27"/>
      <c r="F107" s="27"/>
    </row>
    <row r="108" customFormat="false" ht="15" hidden="false" customHeight="true" outlineLevel="0" collapsed="false">
      <c r="A108" s="3" t="s">
        <v>2270</v>
      </c>
      <c r="B108" s="3" t="s">
        <v>809</v>
      </c>
      <c r="C108" s="3" t="s">
        <v>2250</v>
      </c>
      <c r="D108" s="27"/>
      <c r="E108" s="27"/>
      <c r="F108" s="27"/>
    </row>
    <row r="109" customFormat="false" ht="15" hidden="false" customHeight="true" outlineLevel="0" collapsed="false">
      <c r="A109" s="3" t="s">
        <v>2271</v>
      </c>
      <c r="B109" s="3" t="s">
        <v>1031</v>
      </c>
      <c r="C109" s="3" t="s">
        <v>2246</v>
      </c>
      <c r="D109" s="27"/>
      <c r="E109" s="27"/>
      <c r="F109" s="27"/>
    </row>
    <row r="110" customFormat="false" ht="23.25" hidden="false" customHeight="true" outlineLevel="0" collapsed="false">
      <c r="A110" s="3" t="s">
        <v>2272</v>
      </c>
      <c r="B110" s="3" t="s">
        <v>1032</v>
      </c>
      <c r="C110" s="3" t="s">
        <v>2246</v>
      </c>
      <c r="D110" s="27"/>
      <c r="E110" s="27"/>
      <c r="F110" s="27"/>
    </row>
    <row r="111" customFormat="false" ht="15" hidden="false" customHeight="true" outlineLevel="0" collapsed="false">
      <c r="A111" s="3" t="s">
        <v>2273</v>
      </c>
      <c r="B111" s="3" t="s">
        <v>858</v>
      </c>
      <c r="C111" s="3" t="s">
        <v>2250</v>
      </c>
      <c r="D111" s="27"/>
      <c r="E111" s="27"/>
      <c r="F111" s="27"/>
    </row>
    <row r="112" customFormat="false" ht="15" hidden="false" customHeight="true" outlineLevel="0" collapsed="false">
      <c r="A112" s="3" t="s">
        <v>2274</v>
      </c>
      <c r="B112" s="3" t="s">
        <v>809</v>
      </c>
      <c r="C112" s="3" t="s">
        <v>2250</v>
      </c>
      <c r="D112" s="27"/>
      <c r="E112" s="27"/>
      <c r="F112" s="27"/>
    </row>
    <row r="113" customFormat="false" ht="15" hidden="false" customHeight="true" outlineLevel="0" collapsed="false">
      <c r="A113" s="3" t="s">
        <v>2275</v>
      </c>
      <c r="B113" s="3" t="s">
        <v>809</v>
      </c>
      <c r="C113" s="3" t="s">
        <v>2250</v>
      </c>
      <c r="D113" s="27"/>
      <c r="E113" s="27"/>
      <c r="F113" s="27"/>
    </row>
    <row r="114" customFormat="false" ht="15" hidden="false" customHeight="true" outlineLevel="0" collapsed="false">
      <c r="A114" s="27"/>
      <c r="B114" s="27"/>
      <c r="C114" s="27"/>
      <c r="D114" s="27"/>
      <c r="E114" s="27"/>
      <c r="F114" s="27"/>
    </row>
    <row r="115" customFormat="false" ht="15" hidden="false" customHeight="true" outlineLevel="0" collapsed="false">
      <c r="A115" s="28" t="s">
        <v>2276</v>
      </c>
      <c r="B115" s="28"/>
      <c r="C115" s="28"/>
      <c r="D115" s="28"/>
      <c r="E115" s="28"/>
      <c r="F115" s="28"/>
    </row>
    <row r="116" customFormat="false" ht="15" hidden="false" customHeight="true" outlineLevel="0" collapsed="false">
      <c r="A116" s="29" t="s">
        <v>2277</v>
      </c>
      <c r="B116" s="29" t="s">
        <v>2278</v>
      </c>
      <c r="C116" s="29" t="s">
        <v>24</v>
      </c>
      <c r="D116" s="27"/>
      <c r="E116" s="27"/>
      <c r="F116" s="27"/>
    </row>
    <row r="117" customFormat="false" ht="15" hidden="false" customHeight="true" outlineLevel="0" collapsed="false">
      <c r="A117" s="3" t="s">
        <v>2279</v>
      </c>
      <c r="B117" s="3" t="s">
        <v>88</v>
      </c>
      <c r="C117" s="3" t="s">
        <v>797</v>
      </c>
      <c r="D117" s="27"/>
      <c r="E117" s="27"/>
      <c r="F117" s="27"/>
    </row>
    <row r="118" customFormat="false" ht="15" hidden="false" customHeight="true" outlineLevel="0" collapsed="false">
      <c r="A118" s="3" t="s">
        <v>2280</v>
      </c>
      <c r="B118" s="3" t="s">
        <v>1033</v>
      </c>
      <c r="C118" s="3" t="s">
        <v>797</v>
      </c>
      <c r="D118" s="27"/>
      <c r="E118" s="27"/>
      <c r="F118" s="27"/>
    </row>
    <row r="119" customFormat="false" ht="15" hidden="false" customHeight="true" outlineLevel="0" collapsed="false">
      <c r="A119" s="3" t="s">
        <v>2281</v>
      </c>
      <c r="B119" s="3" t="s">
        <v>1034</v>
      </c>
      <c r="C119" s="3" t="s">
        <v>797</v>
      </c>
      <c r="D119" s="27"/>
      <c r="E119" s="27"/>
      <c r="F119" s="27"/>
    </row>
    <row r="120" customFormat="false" ht="15" hidden="false" customHeight="true" outlineLevel="0" collapsed="false">
      <c r="A120" s="3" t="s">
        <v>2227</v>
      </c>
      <c r="B120" s="3" t="s">
        <v>1035</v>
      </c>
      <c r="C120" s="3" t="s">
        <v>801</v>
      </c>
      <c r="D120" s="27"/>
      <c r="E120" s="27"/>
      <c r="F120" s="27"/>
    </row>
    <row r="121" customFormat="false" ht="23.25" hidden="false" customHeight="true" outlineLevel="0" collapsed="false">
      <c r="A121" s="3" t="s">
        <v>2229</v>
      </c>
      <c r="B121" s="3" t="s">
        <v>1036</v>
      </c>
      <c r="C121" s="3" t="s">
        <v>801</v>
      </c>
      <c r="D121" s="27"/>
      <c r="E121" s="27"/>
      <c r="F121" s="27"/>
    </row>
    <row r="122" customFormat="false" ht="15" hidden="false" customHeight="true" outlineLevel="0" collapsed="false">
      <c r="A122" s="3" t="s">
        <v>2230</v>
      </c>
      <c r="B122" s="3" t="s">
        <v>809</v>
      </c>
      <c r="C122" s="3" t="s">
        <v>804</v>
      </c>
      <c r="D122" s="27"/>
      <c r="E122" s="27"/>
      <c r="F122" s="27"/>
    </row>
    <row r="123" customFormat="false" ht="23.25" hidden="false" customHeight="true" outlineLevel="0" collapsed="false">
      <c r="A123" s="3" t="s">
        <v>2282</v>
      </c>
      <c r="B123" s="3" t="s">
        <v>1037</v>
      </c>
      <c r="C123" s="3" t="s">
        <v>797</v>
      </c>
      <c r="D123" s="27"/>
      <c r="E123" s="27"/>
      <c r="F123" s="27"/>
    </row>
    <row r="124" customFormat="false" ht="15" hidden="false" customHeight="true" outlineLevel="0" collapsed="false">
      <c r="A124" s="3" t="s">
        <v>2283</v>
      </c>
      <c r="B124" s="3" t="s">
        <v>807</v>
      </c>
      <c r="C124" s="3" t="s">
        <v>746</v>
      </c>
      <c r="D124" s="27"/>
      <c r="E124" s="27"/>
      <c r="F124" s="27"/>
    </row>
    <row r="125" customFormat="false" ht="15" hidden="false" customHeight="true" outlineLevel="0" collapsed="false">
      <c r="A125" s="3" t="s">
        <v>2284</v>
      </c>
      <c r="B125" s="3" t="s">
        <v>809</v>
      </c>
      <c r="C125" s="3" t="s">
        <v>867</v>
      </c>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28" t="s">
        <v>2285</v>
      </c>
      <c r="B127" s="28"/>
      <c r="C127" s="28"/>
      <c r="D127" s="28"/>
      <c r="E127" s="28"/>
      <c r="F127" s="28"/>
    </row>
    <row r="128" customFormat="false" ht="15" hidden="false" customHeight="true" outlineLevel="0" collapsed="false">
      <c r="A128" s="29" t="s">
        <v>1553</v>
      </c>
      <c r="B128" s="29" t="s">
        <v>1554</v>
      </c>
      <c r="C128" s="29" t="s">
        <v>1555</v>
      </c>
      <c r="D128" s="29" t="s">
        <v>1556</v>
      </c>
      <c r="E128" s="29" t="s">
        <v>1557</v>
      </c>
      <c r="F128" s="27"/>
    </row>
    <row r="129" customFormat="false" ht="45.75" hidden="false" customHeight="true" outlineLevel="0" collapsed="false">
      <c r="A129" s="3" t="s">
        <v>1558</v>
      </c>
      <c r="B129" s="23" t="s">
        <v>1743</v>
      </c>
      <c r="C129" s="3" t="s">
        <v>1019</v>
      </c>
      <c r="D129" s="3" t="s">
        <v>1744</v>
      </c>
      <c r="E129" s="3" t="s">
        <v>1745</v>
      </c>
      <c r="F129" s="27"/>
    </row>
    <row r="130" customFormat="false" ht="24.75" hidden="false" customHeight="true" outlineLevel="0" collapsed="false">
      <c r="A130" s="3" t="s">
        <v>1596</v>
      </c>
      <c r="B130" s="23" t="s">
        <v>1746</v>
      </c>
      <c r="C130" s="3" t="s">
        <v>1747</v>
      </c>
      <c r="D130" s="3" t="s">
        <v>1744</v>
      </c>
      <c r="E130" s="3" t="s">
        <v>1748</v>
      </c>
      <c r="F130" s="27"/>
    </row>
    <row r="131" customFormat="false" ht="79.5" hidden="false" customHeight="true" outlineLevel="0" collapsed="false">
      <c r="A131" s="3" t="s">
        <v>1563</v>
      </c>
      <c r="B131" s="23" t="s">
        <v>1749</v>
      </c>
      <c r="C131" s="3" t="s">
        <v>1019</v>
      </c>
      <c r="D131" s="3" t="s">
        <v>1750</v>
      </c>
      <c r="E131" s="3" t="s">
        <v>1751</v>
      </c>
      <c r="F131" s="27"/>
    </row>
    <row r="132" customFormat="false" ht="23.25" hidden="false" customHeight="true" outlineLevel="0" collapsed="false">
      <c r="A132" s="3" t="s">
        <v>1616</v>
      </c>
      <c r="B132" s="23" t="s">
        <v>1752</v>
      </c>
      <c r="C132" s="3" t="s">
        <v>1753</v>
      </c>
      <c r="D132" s="3" t="s">
        <v>1754</v>
      </c>
      <c r="E132" s="3" t="s">
        <v>1755</v>
      </c>
      <c r="F132" s="27"/>
    </row>
    <row r="133" customFormat="false" ht="45.75" hidden="false" customHeight="true" outlineLevel="0" collapsed="false">
      <c r="A133" s="3" t="s">
        <v>1616</v>
      </c>
      <c r="B133" s="23" t="s">
        <v>1756</v>
      </c>
      <c r="C133" s="3" t="s">
        <v>1757</v>
      </c>
      <c r="D133" s="3" t="s">
        <v>1758</v>
      </c>
      <c r="E133" s="3" t="s">
        <v>1759</v>
      </c>
      <c r="F133" s="27"/>
    </row>
    <row r="134" customFormat="false" ht="34.5" hidden="false" customHeight="true" outlineLevel="0" collapsed="false">
      <c r="A134" s="3" t="s">
        <v>1575</v>
      </c>
      <c r="B134" s="3" t="s">
        <v>1760</v>
      </c>
      <c r="C134" s="3" t="s">
        <v>1761</v>
      </c>
      <c r="D134" s="3" t="s">
        <v>1762</v>
      </c>
      <c r="E134" s="3" t="s">
        <v>1763</v>
      </c>
      <c r="F134" s="27"/>
    </row>
    <row r="135" customFormat="false" ht="23.25" hidden="false" customHeight="true" outlineLevel="0" collapsed="false">
      <c r="A135" s="3" t="s">
        <v>1596</v>
      </c>
      <c r="B135" s="3" t="s">
        <v>1764</v>
      </c>
      <c r="C135" s="3" t="s">
        <v>1765</v>
      </c>
      <c r="D135" s="3" t="s">
        <v>1744</v>
      </c>
      <c r="E135" s="3" t="s">
        <v>1766</v>
      </c>
      <c r="F135" s="27"/>
    </row>
    <row r="136" customFormat="false" ht="23.25" hidden="false" customHeight="true" outlineLevel="0" collapsed="false">
      <c r="A136" s="3" t="s">
        <v>1596</v>
      </c>
      <c r="B136" s="3" t="s">
        <v>1767</v>
      </c>
      <c r="C136" s="3" t="s">
        <v>1765</v>
      </c>
      <c r="D136" s="3" t="s">
        <v>1744</v>
      </c>
      <c r="E136" s="3" t="s">
        <v>1768</v>
      </c>
      <c r="F136" s="27"/>
    </row>
    <row r="137" customFormat="false" ht="23.25" hidden="false" customHeight="true" outlineLevel="0" collapsed="false">
      <c r="A137" s="3" t="s">
        <v>1596</v>
      </c>
      <c r="B137" s="3" t="s">
        <v>1769</v>
      </c>
      <c r="C137" s="3" t="s">
        <v>1765</v>
      </c>
      <c r="D137" s="3" t="s">
        <v>1770</v>
      </c>
      <c r="E137" s="3" t="s">
        <v>1771</v>
      </c>
      <c r="F137" s="27"/>
    </row>
    <row r="138" customFormat="false" ht="23.25" hidden="false" customHeight="true" outlineLevel="0" collapsed="false">
      <c r="A138" s="3" t="s">
        <v>1596</v>
      </c>
      <c r="B138" s="3" t="s">
        <v>1772</v>
      </c>
      <c r="C138" s="3" t="s">
        <v>1765</v>
      </c>
      <c r="D138" s="3" t="s">
        <v>1773</v>
      </c>
      <c r="E138" s="3" t="s">
        <v>1774</v>
      </c>
      <c r="F138" s="27"/>
    </row>
    <row r="139" customFormat="false" ht="34.5" hidden="false" customHeight="true" outlineLevel="0" collapsed="false">
      <c r="A139" s="3" t="s">
        <v>1596</v>
      </c>
      <c r="B139" s="3" t="s">
        <v>1775</v>
      </c>
      <c r="C139" s="3" t="s">
        <v>1776</v>
      </c>
      <c r="D139" s="3" t="s">
        <v>1777</v>
      </c>
      <c r="E139" s="3" t="s">
        <v>1778</v>
      </c>
      <c r="F139" s="27"/>
    </row>
    <row r="140" customFormat="false" ht="23.25" hidden="false" customHeight="true" outlineLevel="0" collapsed="false">
      <c r="A140" s="3" t="s">
        <v>1596</v>
      </c>
      <c r="B140" s="3" t="s">
        <v>1779</v>
      </c>
      <c r="C140" s="3" t="s">
        <v>1780</v>
      </c>
      <c r="D140" s="3" t="s">
        <v>1744</v>
      </c>
      <c r="E140" s="3" t="s">
        <v>1781</v>
      </c>
      <c r="F140" s="27"/>
    </row>
    <row r="141" customFormat="false" ht="15" hidden="false" customHeight="true" outlineLevel="0" collapsed="false">
      <c r="A141" s="27"/>
      <c r="B141" s="27"/>
      <c r="C141" s="27"/>
      <c r="D141" s="27"/>
      <c r="E141" s="27"/>
      <c r="F141" s="27"/>
    </row>
    <row r="142" customFormat="false" ht="15" hidden="false" customHeight="true" outlineLevel="0" collapsed="false">
      <c r="A142" s="28" t="s">
        <v>744</v>
      </c>
      <c r="B142" s="28"/>
      <c r="C142" s="28"/>
      <c r="D142" s="28"/>
      <c r="E142" s="28"/>
      <c r="F142" s="28"/>
    </row>
    <row r="143" customFormat="false" ht="15" hidden="false" customHeight="true" outlineLevel="0" collapsed="false">
      <c r="A143" s="29" t="s">
        <v>2265</v>
      </c>
      <c r="B143" s="30" t="s">
        <v>1038</v>
      </c>
      <c r="C143" s="30"/>
      <c r="D143" s="30"/>
      <c r="E143" s="30"/>
      <c r="F143"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42:F142"/>
    <mergeCell ref="B143:F1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6.5" hidden="false" customHeight="true" outlineLevel="0" collapsed="false">
      <c r="A1" s="25" t="s">
        <v>2297</v>
      </c>
    </row>
    <row r="2" customFormat="false" ht="34.5" hidden="false" customHeight="true" outlineLevel="0" collapsed="false">
      <c r="A2" s="26" t="s">
        <v>1040</v>
      </c>
      <c r="B2" s="27"/>
      <c r="C2" s="27"/>
      <c r="D2" s="27"/>
      <c r="E2" s="27"/>
      <c r="F2" s="27"/>
    </row>
    <row r="3" customFormat="false" ht="34.5" hidden="false" customHeight="true" outlineLevel="0" collapsed="false">
      <c r="A3" s="4" t="s">
        <v>1039</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1041</v>
      </c>
      <c r="C7" s="30"/>
      <c r="D7" s="30"/>
      <c r="E7" s="30"/>
      <c r="F7" s="30"/>
    </row>
    <row r="8" customFormat="false" ht="15" hidden="false" customHeight="true" outlineLevel="0" collapsed="false">
      <c r="A8" s="29" t="s">
        <v>2156</v>
      </c>
      <c r="B8" s="30" t="s">
        <v>2175</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15" hidden="false" customHeight="true" outlineLevel="0" collapsed="false">
      <c r="A12" s="29" t="s">
        <v>2160</v>
      </c>
      <c r="B12" s="30" t="s">
        <v>2176</v>
      </c>
      <c r="C12" s="30"/>
      <c r="D12" s="30"/>
      <c r="E12" s="30"/>
      <c r="F12" s="30"/>
    </row>
    <row r="13" customFormat="false" ht="50.25" hidden="false" customHeight="true" outlineLevel="0" collapsed="false">
      <c r="A13" s="29" t="s">
        <v>2161</v>
      </c>
      <c r="B13" s="30" t="s">
        <v>2177</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93</v>
      </c>
      <c r="C16" s="30"/>
      <c r="D16" s="30"/>
      <c r="E16" s="30"/>
      <c r="F16" s="30"/>
    </row>
    <row r="17" customFormat="false" ht="15" hidden="false" customHeight="true" outlineLevel="0" collapsed="false">
      <c r="A17" s="29" t="s">
        <v>627</v>
      </c>
      <c r="B17" s="30" t="s">
        <v>1041</v>
      </c>
      <c r="C17" s="30"/>
      <c r="D17" s="30"/>
      <c r="E17" s="30"/>
      <c r="F17" s="30"/>
    </row>
    <row r="18" customFormat="false" ht="15" hidden="false" customHeight="true" outlineLevel="0" collapsed="false">
      <c r="A18" s="29" t="s">
        <v>628</v>
      </c>
      <c r="B18" s="31" t="s">
        <v>1042</v>
      </c>
      <c r="C18" s="31"/>
      <c r="D18" s="31"/>
      <c r="E18" s="31"/>
      <c r="F18" s="31"/>
    </row>
    <row r="19" customFormat="false" ht="15" hidden="false" customHeight="true" outlineLevel="0" collapsed="false">
      <c r="A19" s="29" t="s">
        <v>629</v>
      </c>
      <c r="B19" s="30" t="s">
        <v>1043</v>
      </c>
      <c r="C19" s="30"/>
      <c r="D19" s="30"/>
      <c r="E19" s="30"/>
      <c r="F19" s="30"/>
    </row>
    <row r="20" customFormat="false" ht="15" hidden="false" customHeight="true" outlineLevel="0" collapsed="false">
      <c r="A20" s="29" t="s">
        <v>630</v>
      </c>
      <c r="B20" s="30" t="s">
        <v>1044</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1" t="s">
        <v>95</v>
      </c>
      <c r="C25" s="31"/>
      <c r="D25" s="31"/>
      <c r="E25" s="31"/>
      <c r="F25" s="31"/>
    </row>
    <row r="26" customFormat="false" ht="15" hidden="false" customHeight="true" outlineLevel="0" collapsed="false">
      <c r="A26" s="29" t="s">
        <v>635</v>
      </c>
      <c r="B26" s="30" t="s">
        <v>1046</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1047</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1048</v>
      </c>
      <c r="C31" s="30"/>
      <c r="D31" s="30"/>
      <c r="E31" s="30"/>
      <c r="F31" s="30"/>
    </row>
    <row r="32" customFormat="false" ht="15" hidden="false" customHeight="true" outlineLevel="0" collapsed="false">
      <c r="A32" s="29" t="s">
        <v>641</v>
      </c>
      <c r="B32" s="30" t="s">
        <v>1049</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763</v>
      </c>
      <c r="C36" s="30"/>
      <c r="D36" s="30"/>
      <c r="E36" s="30"/>
      <c r="F36" s="30"/>
    </row>
    <row r="37" customFormat="false" ht="15" hidden="false" customHeight="true" outlineLevel="0" collapsed="false">
      <c r="A37" s="29" t="s">
        <v>644</v>
      </c>
      <c r="B37" s="31" t="s">
        <v>1050</v>
      </c>
      <c r="C37" s="31"/>
      <c r="D37" s="31"/>
      <c r="E37" s="31"/>
      <c r="F37" s="31"/>
    </row>
    <row r="38" customFormat="false" ht="15" hidden="false" customHeight="true" outlineLevel="0" collapsed="false">
      <c r="A38" s="29" t="s">
        <v>645</v>
      </c>
      <c r="B38" s="30" t="s">
        <v>1051</v>
      </c>
      <c r="C38" s="30"/>
      <c r="D38" s="30"/>
      <c r="E38" s="30"/>
      <c r="F38" s="30"/>
    </row>
    <row r="39" customFormat="false" ht="15" hidden="false" customHeight="true" outlineLevel="0" collapsed="false">
      <c r="A39" s="29" t="s">
        <v>646</v>
      </c>
      <c r="B39" s="30" t="s">
        <v>1052</v>
      </c>
      <c r="C39" s="30"/>
      <c r="D39" s="30"/>
      <c r="E39" s="30"/>
      <c r="F39" s="30"/>
    </row>
    <row r="40" customFormat="false" ht="15" hidden="false" customHeight="true" outlineLevel="0" collapsed="false">
      <c r="A40" s="29" t="s">
        <v>647</v>
      </c>
      <c r="B40" s="30" t="s">
        <v>1053</v>
      </c>
      <c r="C40" s="30"/>
      <c r="D40" s="30"/>
      <c r="E40" s="30"/>
      <c r="F40" s="30"/>
    </row>
    <row r="41" customFormat="false" ht="15" hidden="false" customHeight="true" outlineLevel="0" collapsed="false">
      <c r="A41" s="29" t="s">
        <v>648</v>
      </c>
      <c r="B41" s="30" t="s">
        <v>1054</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881</v>
      </c>
      <c r="C44" s="30"/>
      <c r="D44" s="30"/>
      <c r="E44" s="30"/>
      <c r="F44" s="30"/>
    </row>
    <row r="45" customFormat="false" ht="15" hidden="false" customHeight="true" outlineLevel="0" collapsed="false">
      <c r="A45" s="29" t="s">
        <v>652</v>
      </c>
      <c r="B45" s="30" t="s">
        <v>882</v>
      </c>
      <c r="C45" s="30"/>
      <c r="D45" s="30"/>
      <c r="E45" s="30"/>
      <c r="F45" s="30"/>
    </row>
    <row r="46" customFormat="false" ht="15" hidden="false" customHeight="true" outlineLevel="0" collapsed="false">
      <c r="A46" s="29" t="s">
        <v>653</v>
      </c>
      <c r="B46" s="30" t="s">
        <v>773</v>
      </c>
      <c r="C46" s="30"/>
      <c r="D46" s="30"/>
      <c r="E46" s="30"/>
      <c r="F46" s="30"/>
    </row>
    <row r="47" customFormat="false" ht="23.25" hidden="false" customHeight="true" outlineLevel="0" collapsed="false">
      <c r="A47" s="29" t="s">
        <v>654</v>
      </c>
      <c r="B47" s="30" t="s">
        <v>1055</v>
      </c>
      <c r="C47" s="30"/>
      <c r="D47" s="30"/>
      <c r="E47" s="30"/>
      <c r="F47" s="30"/>
    </row>
    <row r="48" customFormat="false" ht="23.25" hidden="false" customHeight="true" outlineLevel="0" collapsed="false">
      <c r="A48" s="29" t="s">
        <v>655</v>
      </c>
      <c r="B48" s="30" t="s">
        <v>1056</v>
      </c>
      <c r="C48" s="30"/>
      <c r="D48" s="30"/>
      <c r="E48" s="30"/>
      <c r="F48" s="30"/>
    </row>
    <row r="49" customFormat="false" ht="15" hidden="false" customHeight="true" outlineLevel="0" collapsed="false">
      <c r="A49" s="29" t="s">
        <v>656</v>
      </c>
      <c r="B49" s="30" t="s">
        <v>1057</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1058</v>
      </c>
      <c r="C52" s="30"/>
      <c r="D52" s="30"/>
      <c r="E52" s="30"/>
      <c r="F52" s="30"/>
    </row>
    <row r="53" customFormat="false" ht="15" hidden="false" customHeight="true" outlineLevel="0" collapsed="false">
      <c r="A53" s="29" t="s">
        <v>658</v>
      </c>
      <c r="B53" s="30" t="s">
        <v>1059</v>
      </c>
      <c r="C53" s="30"/>
      <c r="D53" s="30"/>
      <c r="E53" s="30"/>
      <c r="F53" s="30"/>
    </row>
    <row r="54" customFormat="false" ht="15" hidden="false" customHeight="true" outlineLevel="0" collapsed="false">
      <c r="A54" s="29" t="s">
        <v>659</v>
      </c>
      <c r="B54" s="30" t="s">
        <v>1060</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2296</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7"/>
      <c r="E62" s="27"/>
      <c r="F62" s="27"/>
    </row>
    <row r="63" customFormat="false" ht="36" hidden="false" customHeight="true" outlineLevel="0" collapsed="false">
      <c r="A63" s="3" t="s">
        <v>1355</v>
      </c>
      <c r="B63" s="3" t="s">
        <v>59</v>
      </c>
      <c r="C63" s="3" t="s">
        <v>1441</v>
      </c>
      <c r="D63" s="27"/>
      <c r="E63" s="27"/>
      <c r="F63" s="27"/>
    </row>
    <row r="64" customFormat="false" ht="15" hidden="false" customHeight="true" outlineLevel="0" collapsed="false">
      <c r="A64" s="3" t="s">
        <v>1356</v>
      </c>
      <c r="B64" s="3" t="s">
        <v>60</v>
      </c>
      <c r="C64" s="3" t="s">
        <v>128</v>
      </c>
      <c r="D64" s="27"/>
      <c r="E64" s="27"/>
      <c r="F64" s="27"/>
    </row>
    <row r="65" customFormat="false" ht="24.75" hidden="false" customHeight="true" outlineLevel="0" collapsed="false">
      <c r="A65" s="3" t="s">
        <v>1357</v>
      </c>
      <c r="B65" s="3" t="s">
        <v>1434</v>
      </c>
      <c r="C65" s="3" t="s">
        <v>1442</v>
      </c>
      <c r="D65" s="27"/>
      <c r="E65" s="27"/>
      <c r="F65" s="27"/>
    </row>
    <row r="66" customFormat="false" ht="15" hidden="false" customHeight="true" outlineLevel="0" collapsed="false">
      <c r="A66" s="3" t="s">
        <v>1358</v>
      </c>
      <c r="B66" s="3" t="s">
        <v>1435</v>
      </c>
      <c r="C66" s="3" t="s">
        <v>1443</v>
      </c>
      <c r="D66" s="27"/>
      <c r="E66" s="27"/>
      <c r="F66" s="27"/>
    </row>
    <row r="67" customFormat="false" ht="36" hidden="false" customHeight="true" outlineLevel="0" collapsed="false">
      <c r="A67" s="3" t="s">
        <v>1359</v>
      </c>
      <c r="B67" s="3" t="s">
        <v>1436</v>
      </c>
      <c r="C67" s="3" t="s">
        <v>1444</v>
      </c>
      <c r="D67" s="27"/>
      <c r="E67" s="27"/>
      <c r="F67" s="27"/>
    </row>
    <row r="68" customFormat="false" ht="69.75" hidden="false" customHeight="true" outlineLevel="0" collapsed="false">
      <c r="A68" s="3" t="s">
        <v>1360</v>
      </c>
      <c r="B68" s="3" t="s">
        <v>1437</v>
      </c>
      <c r="C68" s="3" t="s">
        <v>1445</v>
      </c>
      <c r="D68" s="27"/>
      <c r="E68" s="27"/>
      <c r="F68" s="27"/>
    </row>
    <row r="69" customFormat="false" ht="45.75" hidden="false" customHeight="true" outlineLevel="0" collapsed="false">
      <c r="A69" s="3" t="s">
        <v>1361</v>
      </c>
      <c r="B69" s="3" t="s">
        <v>1438</v>
      </c>
      <c r="C69" s="3" t="s">
        <v>1446</v>
      </c>
      <c r="D69" s="27"/>
      <c r="E69" s="27"/>
      <c r="F69" s="27"/>
    </row>
    <row r="70" customFormat="false" ht="195.75" hidden="false" customHeight="true" outlineLevel="0" collapsed="false">
      <c r="A70" s="3" t="s">
        <v>1362</v>
      </c>
      <c r="B70" s="3" t="s">
        <v>1439</v>
      </c>
      <c r="C70" s="3" t="s">
        <v>1447</v>
      </c>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1062</v>
      </c>
      <c r="C73" s="30"/>
      <c r="D73" s="30"/>
      <c r="E73" s="30"/>
      <c r="F73" s="30"/>
    </row>
    <row r="74" customFormat="false" ht="24.75" hidden="false" customHeight="true" outlineLevel="0" collapsed="false">
      <c r="A74" s="29" t="s">
        <v>2238</v>
      </c>
      <c r="B74" s="30" t="s">
        <v>1063</v>
      </c>
      <c r="C74" s="30"/>
      <c r="D74" s="30"/>
      <c r="E74" s="30"/>
      <c r="F74" s="30"/>
    </row>
    <row r="75" customFormat="false" ht="15" hidden="false" customHeight="true" outlineLevel="0" collapsed="false">
      <c r="A75" s="29" t="s">
        <v>1359</v>
      </c>
      <c r="B75" s="30" t="s">
        <v>1064</v>
      </c>
      <c r="C75" s="30"/>
      <c r="D75" s="30"/>
      <c r="E75" s="30"/>
      <c r="F75" s="30"/>
    </row>
    <row r="76" customFormat="false" ht="23.25" hidden="false" customHeight="true" outlineLevel="0" collapsed="false">
      <c r="A76" s="29" t="s">
        <v>2239</v>
      </c>
      <c r="B76" s="30" t="s">
        <v>1065</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57" hidden="false" customHeight="true" outlineLevel="0" collapsed="false">
      <c r="A79" s="29" t="s">
        <v>669</v>
      </c>
      <c r="B79" s="30" t="s">
        <v>1066</v>
      </c>
      <c r="C79" s="30"/>
      <c r="D79" s="30"/>
      <c r="E79" s="30"/>
      <c r="F79" s="30"/>
    </row>
    <row r="80" customFormat="false" ht="57" hidden="false" customHeight="true" outlineLevel="0" collapsed="false">
      <c r="A80" s="29" t="s">
        <v>670</v>
      </c>
      <c r="B80" s="30" t="s">
        <v>1067</v>
      </c>
      <c r="C80" s="30"/>
      <c r="D80" s="30"/>
      <c r="E80" s="30"/>
      <c r="F80" s="30"/>
    </row>
    <row r="81" customFormat="false" ht="68.25" hidden="false" customHeight="true" outlineLevel="0" collapsed="false">
      <c r="A81" s="29" t="s">
        <v>671</v>
      </c>
      <c r="B81" s="30" t="s">
        <v>1068</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34.5" hidden="false" customHeight="true" outlineLevel="0" collapsed="false">
      <c r="A85" s="3" t="s">
        <v>2245</v>
      </c>
      <c r="B85" s="3" t="s">
        <v>1069</v>
      </c>
      <c r="C85" s="3" t="s">
        <v>2246</v>
      </c>
      <c r="D85" s="27"/>
      <c r="E85" s="27"/>
      <c r="F85" s="27"/>
    </row>
    <row r="86" customFormat="false" ht="24.75" hidden="false" customHeight="true" outlineLevel="0" collapsed="false">
      <c r="A86" s="3" t="s">
        <v>2289</v>
      </c>
      <c r="B86" s="3" t="s">
        <v>1070</v>
      </c>
      <c r="C86" s="3" t="s">
        <v>2246</v>
      </c>
      <c r="D86" s="27"/>
      <c r="E86" s="27"/>
      <c r="F86" s="27"/>
    </row>
    <row r="87" customFormat="false" ht="34.5" hidden="false" customHeight="true" outlineLevel="0" collapsed="false">
      <c r="A87" s="3" t="s">
        <v>2248</v>
      </c>
      <c r="B87" s="3" t="s">
        <v>1071</v>
      </c>
      <c r="C87" s="3" t="s">
        <v>2246</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26.25" hidden="false" customHeight="true" outlineLevel="0" collapsed="false">
      <c r="A92" s="3" t="s">
        <v>2254</v>
      </c>
      <c r="B92" s="3" t="s">
        <v>1072</v>
      </c>
      <c r="C92" s="3" t="s">
        <v>2246</v>
      </c>
      <c r="D92" s="27"/>
      <c r="E92" s="27"/>
      <c r="F92" s="27"/>
    </row>
    <row r="93" customFormat="false" ht="23.25" hidden="false" customHeight="true" outlineLevel="0" collapsed="false">
      <c r="A93" s="3" t="s">
        <v>2255</v>
      </c>
      <c r="B93" s="3" t="s">
        <v>1073</v>
      </c>
      <c r="C93" s="3" t="s">
        <v>2246</v>
      </c>
      <c r="D93" s="27"/>
      <c r="E93" s="27"/>
      <c r="F93" s="27"/>
    </row>
    <row r="94" customFormat="false" ht="15" hidden="false" customHeight="true" outlineLevel="0" collapsed="false">
      <c r="A94" s="3" t="s">
        <v>2256</v>
      </c>
      <c r="B94" s="3" t="s">
        <v>809</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34.5" hidden="false" customHeight="true" outlineLevel="0" collapsed="false">
      <c r="A96" s="3" t="s">
        <v>2258</v>
      </c>
      <c r="B96" s="3" t="s">
        <v>1074</v>
      </c>
      <c r="C96" s="3" t="s">
        <v>2246</v>
      </c>
      <c r="D96" s="27"/>
      <c r="E96" s="27"/>
      <c r="F96" s="27"/>
    </row>
    <row r="97" customFormat="false" ht="15" hidden="false" customHeight="true" outlineLevel="0" collapsed="false">
      <c r="A97" s="3" t="s">
        <v>2259</v>
      </c>
      <c r="B97" s="3" t="s">
        <v>1075</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15" hidden="false" customHeight="true" outlineLevel="0" collapsed="false">
      <c r="A99" s="3" t="s">
        <v>2261</v>
      </c>
      <c r="B99" s="3" t="s">
        <v>809</v>
      </c>
      <c r="C99" s="3" t="s">
        <v>2250</v>
      </c>
      <c r="D99" s="27"/>
      <c r="E99" s="27"/>
      <c r="F99" s="27"/>
    </row>
    <row r="100" customFormat="false" ht="15" hidden="false" customHeight="true" outlineLevel="0" collapsed="false">
      <c r="A100" s="3" t="s">
        <v>2262</v>
      </c>
      <c r="B100" s="3" t="s">
        <v>809</v>
      </c>
      <c r="C100" s="3" t="s">
        <v>2250</v>
      </c>
      <c r="D100" s="27"/>
      <c r="E100" s="27"/>
      <c r="F100" s="27"/>
    </row>
    <row r="101" customFormat="false" ht="34.5" hidden="false" customHeight="true" outlineLevel="0" collapsed="false">
      <c r="A101" s="26" t="s">
        <v>1076</v>
      </c>
      <c r="B101" s="27"/>
      <c r="C101" s="27"/>
      <c r="D101" s="27"/>
      <c r="E101" s="27"/>
      <c r="F101" s="27"/>
    </row>
    <row r="102" customFormat="false" ht="15" hidden="false" customHeight="true" outlineLevel="0" collapsed="false">
      <c r="A102" s="27"/>
      <c r="B102" s="27"/>
      <c r="C102" s="27"/>
      <c r="D102" s="27"/>
      <c r="E102" s="27"/>
      <c r="F102" s="27"/>
    </row>
    <row r="103" customFormat="false" ht="15" hidden="false" customHeight="true" outlineLevel="0" collapsed="false">
      <c r="A103" s="28" t="s">
        <v>2263</v>
      </c>
      <c r="B103" s="28"/>
      <c r="C103" s="28"/>
      <c r="D103" s="28"/>
      <c r="E103" s="28"/>
      <c r="F103" s="28"/>
    </row>
    <row r="104" customFormat="false" ht="15" hidden="false" customHeight="true" outlineLevel="0" collapsed="false">
      <c r="A104" s="29" t="s">
        <v>2264</v>
      </c>
      <c r="B104" s="29" t="s">
        <v>2265</v>
      </c>
      <c r="C104" s="29" t="s">
        <v>2244</v>
      </c>
      <c r="D104" s="27"/>
      <c r="E104" s="27"/>
      <c r="F104" s="27"/>
    </row>
    <row r="105" customFormat="false" ht="23.25" hidden="false" customHeight="true" outlineLevel="0" collapsed="false">
      <c r="A105" s="3" t="s">
        <v>2266</v>
      </c>
      <c r="B105" s="3" t="s">
        <v>1077</v>
      </c>
      <c r="C105" s="3" t="s">
        <v>2246</v>
      </c>
      <c r="D105" s="27"/>
      <c r="E105" s="27"/>
      <c r="F105" s="27"/>
    </row>
    <row r="106" customFormat="false" ht="15" hidden="false" customHeight="true" outlineLevel="0" collapsed="false">
      <c r="A106" s="3" t="s">
        <v>2267</v>
      </c>
      <c r="B106" s="3" t="s">
        <v>1078</v>
      </c>
      <c r="C106" s="3" t="s">
        <v>2246</v>
      </c>
      <c r="D106" s="27"/>
      <c r="E106" s="27"/>
      <c r="F106" s="27"/>
    </row>
    <row r="107" customFormat="false" ht="23.25" hidden="false" customHeight="true" outlineLevel="0" collapsed="false">
      <c r="A107" s="3" t="s">
        <v>2268</v>
      </c>
      <c r="B107" s="3" t="s">
        <v>1079</v>
      </c>
      <c r="C107" s="3" t="s">
        <v>2246</v>
      </c>
      <c r="D107" s="27"/>
      <c r="E107" s="27"/>
      <c r="F107" s="27"/>
    </row>
    <row r="108" customFormat="false" ht="15" hidden="false" customHeight="true" outlineLevel="0" collapsed="false">
      <c r="A108" s="3" t="s">
        <v>2269</v>
      </c>
      <c r="B108" s="3" t="s">
        <v>809</v>
      </c>
      <c r="C108" s="3" t="s">
        <v>2250</v>
      </c>
      <c r="D108" s="27"/>
      <c r="E108" s="27"/>
      <c r="F108" s="27"/>
    </row>
    <row r="109" customFormat="false" ht="15" hidden="false" customHeight="true" outlineLevel="0" collapsed="false">
      <c r="A109" s="3" t="s">
        <v>2270</v>
      </c>
      <c r="B109" s="3" t="s">
        <v>809</v>
      </c>
      <c r="C109" s="3" t="s">
        <v>2250</v>
      </c>
      <c r="D109" s="27"/>
      <c r="E109" s="27"/>
      <c r="F109" s="27"/>
    </row>
    <row r="110" customFormat="false" ht="15" hidden="false" customHeight="true" outlineLevel="0" collapsed="false">
      <c r="A110" s="3" t="s">
        <v>2271</v>
      </c>
      <c r="B110" s="3" t="s">
        <v>809</v>
      </c>
      <c r="C110" s="3" t="s">
        <v>2250</v>
      </c>
      <c r="D110" s="27"/>
      <c r="E110" s="27"/>
      <c r="F110" s="27"/>
    </row>
    <row r="111" customFormat="false" ht="23.25" hidden="false" customHeight="true" outlineLevel="0" collapsed="false">
      <c r="A111" s="3" t="s">
        <v>2272</v>
      </c>
      <c r="B111" s="3" t="s">
        <v>1080</v>
      </c>
      <c r="C111" s="3" t="s">
        <v>2246</v>
      </c>
      <c r="D111" s="27"/>
      <c r="E111" s="27"/>
      <c r="F111" s="27"/>
    </row>
    <row r="112" customFormat="false" ht="15" hidden="false" customHeight="true" outlineLevel="0" collapsed="false">
      <c r="A112" s="3" t="s">
        <v>2273</v>
      </c>
      <c r="B112" s="3" t="s">
        <v>858</v>
      </c>
      <c r="C112" s="3" t="s">
        <v>2250</v>
      </c>
      <c r="D112" s="27"/>
      <c r="E112" s="27"/>
      <c r="F112" s="27"/>
    </row>
    <row r="113" customFormat="false" ht="23.25" hidden="false" customHeight="true" outlineLevel="0" collapsed="false">
      <c r="A113" s="3" t="s">
        <v>2274</v>
      </c>
      <c r="B113" s="3" t="s">
        <v>1081</v>
      </c>
      <c r="C113" s="3" t="s">
        <v>2246</v>
      </c>
      <c r="D113" s="27"/>
      <c r="E113" s="27"/>
      <c r="F113" s="27"/>
    </row>
    <row r="114" customFormat="false" ht="15" hidden="false" customHeight="true" outlineLevel="0" collapsed="false">
      <c r="A114" s="3" t="s">
        <v>2275</v>
      </c>
      <c r="B114" s="3" t="s">
        <v>809</v>
      </c>
      <c r="C114" s="3" t="s">
        <v>2250</v>
      </c>
      <c r="D114" s="27"/>
      <c r="E114" s="27"/>
      <c r="F114" s="27"/>
    </row>
    <row r="115" customFormat="false" ht="15" hidden="false" customHeight="true" outlineLevel="0" collapsed="false">
      <c r="A115" s="27"/>
      <c r="B115" s="27"/>
      <c r="C115" s="27"/>
      <c r="D115" s="27"/>
      <c r="E115" s="27"/>
      <c r="F115" s="27"/>
    </row>
    <row r="116" customFormat="false" ht="15" hidden="false" customHeight="true" outlineLevel="0" collapsed="false">
      <c r="A116" s="28" t="s">
        <v>2276</v>
      </c>
      <c r="B116" s="28"/>
      <c r="C116" s="28"/>
      <c r="D116" s="28"/>
      <c r="E116" s="28"/>
      <c r="F116" s="28"/>
    </row>
    <row r="117" customFormat="false" ht="15" hidden="false" customHeight="true" outlineLevel="0" collapsed="false">
      <c r="A117" s="29" t="s">
        <v>2277</v>
      </c>
      <c r="B117" s="29" t="s">
        <v>2278</v>
      </c>
      <c r="C117" s="29" t="s">
        <v>24</v>
      </c>
      <c r="D117" s="27"/>
      <c r="E117" s="27"/>
      <c r="F117" s="27"/>
    </row>
    <row r="118" customFormat="false" ht="15" hidden="false" customHeight="true" outlineLevel="0" collapsed="false">
      <c r="A118" s="3" t="s">
        <v>2279</v>
      </c>
      <c r="B118" s="3" t="s">
        <v>1082</v>
      </c>
      <c r="C118" s="3" t="s">
        <v>797</v>
      </c>
      <c r="D118" s="27"/>
      <c r="E118" s="27"/>
      <c r="F118" s="27"/>
    </row>
    <row r="119" customFormat="false" ht="23.25" hidden="false" customHeight="true" outlineLevel="0" collapsed="false">
      <c r="A119" s="3" t="s">
        <v>2280</v>
      </c>
      <c r="B119" s="3" t="s">
        <v>1083</v>
      </c>
      <c r="C119" s="3" t="s">
        <v>797</v>
      </c>
      <c r="D119" s="27"/>
      <c r="E119" s="27"/>
      <c r="F119" s="27"/>
    </row>
    <row r="120" customFormat="false" ht="15" hidden="false" customHeight="true" outlineLevel="0" collapsed="false">
      <c r="A120" s="3" t="s">
        <v>2281</v>
      </c>
      <c r="B120" s="3" t="s">
        <v>1084</v>
      </c>
      <c r="C120" s="3" t="s">
        <v>797</v>
      </c>
      <c r="D120" s="27"/>
      <c r="E120" s="27"/>
      <c r="F120" s="27"/>
    </row>
    <row r="121" customFormat="false" ht="15" hidden="false" customHeight="true" outlineLevel="0" collapsed="false">
      <c r="A121" s="3" t="s">
        <v>2227</v>
      </c>
      <c r="B121" s="3" t="s">
        <v>862</v>
      </c>
      <c r="C121" s="3" t="s">
        <v>801</v>
      </c>
      <c r="D121" s="27"/>
      <c r="E121" s="27"/>
      <c r="F121" s="27"/>
    </row>
    <row r="122" customFormat="false" ht="23.25" hidden="false" customHeight="true" outlineLevel="0" collapsed="false">
      <c r="A122" s="3" t="s">
        <v>2229</v>
      </c>
      <c r="B122" s="3" t="s">
        <v>1085</v>
      </c>
      <c r="C122" s="3" t="s">
        <v>801</v>
      </c>
      <c r="D122" s="27"/>
      <c r="E122" s="27"/>
      <c r="F122" s="27"/>
    </row>
    <row r="123" customFormat="false" ht="15" hidden="false" customHeight="true" outlineLevel="0" collapsed="false">
      <c r="A123" s="3" t="s">
        <v>2230</v>
      </c>
      <c r="B123" s="3" t="s">
        <v>1086</v>
      </c>
      <c r="C123" s="3" t="s">
        <v>804</v>
      </c>
      <c r="D123" s="27"/>
      <c r="E123" s="27"/>
      <c r="F123" s="27"/>
    </row>
    <row r="124" customFormat="false" ht="23.25" hidden="false" customHeight="true" outlineLevel="0" collapsed="false">
      <c r="A124" s="3" t="s">
        <v>2282</v>
      </c>
      <c r="B124" s="3" t="s">
        <v>1087</v>
      </c>
      <c r="C124" s="3" t="s">
        <v>797</v>
      </c>
      <c r="D124" s="27"/>
      <c r="E124" s="27"/>
      <c r="F124" s="27"/>
    </row>
    <row r="125" customFormat="false" ht="15" hidden="false" customHeight="true" outlineLevel="0" collapsed="false">
      <c r="A125" s="3" t="s">
        <v>2283</v>
      </c>
      <c r="B125" s="3" t="s">
        <v>807</v>
      </c>
      <c r="C125" s="3" t="s">
        <v>746</v>
      </c>
      <c r="D125" s="27"/>
      <c r="E125" s="27"/>
      <c r="F125" s="27"/>
    </row>
    <row r="126" customFormat="false" ht="15" hidden="false" customHeight="true" outlineLevel="0" collapsed="false">
      <c r="A126" s="3" t="s">
        <v>2284</v>
      </c>
      <c r="B126" s="3" t="s">
        <v>809</v>
      </c>
      <c r="C126" s="3" t="s">
        <v>867</v>
      </c>
      <c r="D126" s="27"/>
      <c r="E126" s="27"/>
      <c r="F126" s="27"/>
    </row>
    <row r="127" customFormat="false" ht="15" hidden="false" customHeight="true" outlineLevel="0" collapsed="false">
      <c r="A127" s="27"/>
      <c r="B127" s="27"/>
      <c r="C127" s="27"/>
      <c r="D127" s="27"/>
      <c r="E127" s="27"/>
      <c r="F127" s="27"/>
    </row>
    <row r="128" customFormat="false" ht="15" hidden="false" customHeight="true" outlineLevel="0" collapsed="false">
      <c r="A128" s="28" t="s">
        <v>2285</v>
      </c>
      <c r="B128" s="28"/>
      <c r="C128" s="28"/>
      <c r="D128" s="28"/>
      <c r="E128" s="28"/>
      <c r="F128" s="28"/>
    </row>
    <row r="129" customFormat="false" ht="15" hidden="false" customHeight="true" outlineLevel="0" collapsed="false">
      <c r="A129" s="29" t="s">
        <v>1553</v>
      </c>
      <c r="B129" s="29" t="s">
        <v>1554</v>
      </c>
      <c r="C129" s="29" t="s">
        <v>1555</v>
      </c>
      <c r="D129" s="29" t="s">
        <v>1556</v>
      </c>
      <c r="E129" s="29" t="s">
        <v>1557</v>
      </c>
      <c r="F129" s="27"/>
    </row>
    <row r="130" customFormat="false" ht="68.25" hidden="false" customHeight="true" outlineLevel="0" collapsed="false">
      <c r="A130" s="3" t="s">
        <v>1558</v>
      </c>
      <c r="B130" s="23" t="s">
        <v>1782</v>
      </c>
      <c r="C130" s="3" t="s">
        <v>1783</v>
      </c>
      <c r="D130" s="3" t="s">
        <v>1784</v>
      </c>
      <c r="E130" s="3" t="s">
        <v>1785</v>
      </c>
      <c r="F130" s="27"/>
    </row>
    <row r="131" customFormat="false" ht="23.25" hidden="false" customHeight="true" outlineLevel="0" collapsed="false">
      <c r="A131" s="3" t="s">
        <v>1596</v>
      </c>
      <c r="B131" s="3" t="s">
        <v>1786</v>
      </c>
      <c r="C131" s="3" t="s">
        <v>1787</v>
      </c>
      <c r="D131" s="3" t="s">
        <v>1784</v>
      </c>
      <c r="E131" s="3" t="s">
        <v>1788</v>
      </c>
      <c r="F131" s="27"/>
    </row>
    <row r="132" customFormat="false" ht="57" hidden="false" customHeight="true" outlineLevel="0" collapsed="false">
      <c r="A132" s="3" t="s">
        <v>1558</v>
      </c>
      <c r="B132" s="23" t="s">
        <v>1789</v>
      </c>
      <c r="C132" s="3" t="s">
        <v>1790</v>
      </c>
      <c r="D132" s="3" t="s">
        <v>1791</v>
      </c>
      <c r="E132" s="3" t="s">
        <v>1792</v>
      </c>
      <c r="F132" s="27"/>
    </row>
    <row r="133" customFormat="false" ht="45.75" hidden="false" customHeight="true" outlineLevel="0" collapsed="false">
      <c r="A133" s="3" t="s">
        <v>1563</v>
      </c>
      <c r="B133" s="23" t="s">
        <v>1793</v>
      </c>
      <c r="C133" s="3" t="s">
        <v>1794</v>
      </c>
      <c r="D133" s="3" t="s">
        <v>1795</v>
      </c>
      <c r="E133" s="3" t="s">
        <v>1796</v>
      </c>
      <c r="F133" s="27"/>
    </row>
    <row r="134" customFormat="false" ht="57" hidden="false" customHeight="true" outlineLevel="0" collapsed="false">
      <c r="A134" s="3" t="s">
        <v>1616</v>
      </c>
      <c r="B134" s="3" t="s">
        <v>1797</v>
      </c>
      <c r="C134" s="3" t="s">
        <v>1798</v>
      </c>
      <c r="D134" s="3" t="s">
        <v>1799</v>
      </c>
      <c r="E134" s="3" t="s">
        <v>1800</v>
      </c>
      <c r="F134" s="27"/>
    </row>
    <row r="135" customFormat="false" ht="57" hidden="false" customHeight="true" outlineLevel="0" collapsed="false">
      <c r="A135" s="3" t="s">
        <v>1621</v>
      </c>
      <c r="B135" s="3" t="s">
        <v>1801</v>
      </c>
      <c r="C135" s="3" t="s">
        <v>1802</v>
      </c>
      <c r="D135" s="3" t="s">
        <v>1803</v>
      </c>
      <c r="E135" s="3" t="s">
        <v>1804</v>
      </c>
      <c r="F135" s="27"/>
    </row>
    <row r="136" customFormat="false" ht="57" hidden="false" customHeight="true" outlineLevel="0" collapsed="false">
      <c r="A136" s="3" t="s">
        <v>1616</v>
      </c>
      <c r="B136" s="3" t="s">
        <v>1805</v>
      </c>
      <c r="C136" s="3" t="s">
        <v>1806</v>
      </c>
      <c r="D136" s="3" t="s">
        <v>1807</v>
      </c>
      <c r="E136" s="3" t="s">
        <v>1808</v>
      </c>
      <c r="F136" s="27"/>
    </row>
    <row r="137" customFormat="false" ht="23.25" hidden="false" customHeight="true" outlineLevel="0" collapsed="false">
      <c r="A137" s="3" t="s">
        <v>1596</v>
      </c>
      <c r="B137" s="3" t="s">
        <v>1809</v>
      </c>
      <c r="C137" s="3" t="s">
        <v>1810</v>
      </c>
      <c r="D137" s="3" t="s">
        <v>1811</v>
      </c>
      <c r="E137" s="3" t="s">
        <v>1812</v>
      </c>
      <c r="F137" s="27"/>
    </row>
    <row r="138" customFormat="false" ht="23.25" hidden="false" customHeight="true" outlineLevel="0" collapsed="false">
      <c r="A138" s="3" t="s">
        <v>1596</v>
      </c>
      <c r="B138" s="3" t="s">
        <v>1813</v>
      </c>
      <c r="C138" s="3" t="s">
        <v>1787</v>
      </c>
      <c r="D138" s="3" t="s">
        <v>1814</v>
      </c>
      <c r="E138" s="3" t="s">
        <v>1815</v>
      </c>
      <c r="F138" s="27"/>
    </row>
    <row r="139" customFormat="false" ht="23.25" hidden="false" customHeight="true" outlineLevel="0" collapsed="false">
      <c r="A139" s="3" t="s">
        <v>1596</v>
      </c>
      <c r="B139" s="3" t="s">
        <v>1816</v>
      </c>
      <c r="C139" s="3" t="s">
        <v>1817</v>
      </c>
      <c r="D139" s="3" t="s">
        <v>1818</v>
      </c>
      <c r="E139" s="3" t="s">
        <v>1819</v>
      </c>
      <c r="F139" s="27"/>
    </row>
    <row r="140" customFormat="false" ht="23.25" hidden="false" customHeight="true" outlineLevel="0" collapsed="false">
      <c r="A140" s="3" t="s">
        <v>1596</v>
      </c>
      <c r="B140" s="3" t="s">
        <v>1820</v>
      </c>
      <c r="C140" s="3" t="s">
        <v>1821</v>
      </c>
      <c r="D140" s="3" t="s">
        <v>1822</v>
      </c>
      <c r="E140" s="3" t="s">
        <v>1823</v>
      </c>
      <c r="F140" s="27"/>
    </row>
    <row r="141" customFormat="false" ht="23.25" hidden="false" customHeight="true" outlineLevel="0" collapsed="false">
      <c r="A141" s="3" t="s">
        <v>1596</v>
      </c>
      <c r="B141" s="3" t="s">
        <v>1824</v>
      </c>
      <c r="C141" s="3" t="s">
        <v>1817</v>
      </c>
      <c r="D141" s="3" t="s">
        <v>1825</v>
      </c>
      <c r="E141" s="3" t="s">
        <v>1826</v>
      </c>
      <c r="F141" s="27"/>
    </row>
    <row r="142" customFormat="false" ht="15" hidden="false" customHeight="true" outlineLevel="0" collapsed="false">
      <c r="A142" s="27"/>
      <c r="B142" s="27"/>
      <c r="C142" s="27"/>
      <c r="D142" s="27"/>
      <c r="E142" s="27"/>
      <c r="F142" s="27"/>
    </row>
    <row r="143" customFormat="false" ht="15" hidden="false" customHeight="true" outlineLevel="0" collapsed="false">
      <c r="A143" s="28" t="s">
        <v>744</v>
      </c>
      <c r="B143" s="28"/>
      <c r="C143" s="28"/>
      <c r="D143" s="28"/>
      <c r="E143" s="28"/>
      <c r="F143" s="28"/>
    </row>
    <row r="144" customFormat="false" ht="15" hidden="false" customHeight="true" outlineLevel="0" collapsed="false">
      <c r="A144" s="29" t="s">
        <v>2265</v>
      </c>
      <c r="B144" s="30" t="s">
        <v>1088</v>
      </c>
      <c r="C144" s="30"/>
      <c r="D144" s="30"/>
      <c r="E144" s="30"/>
      <c r="F144"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43:F143"/>
    <mergeCell ref="B144:F1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75" hidden="false" customHeight="true" outlineLevel="0" collapsed="false">
      <c r="A1" s="25" t="s">
        <v>2298</v>
      </c>
    </row>
    <row r="2" customFormat="false" ht="34.5" hidden="false" customHeight="true" outlineLevel="0" collapsed="false">
      <c r="A2" s="26" t="s">
        <v>1091</v>
      </c>
      <c r="B2" s="27"/>
      <c r="C2" s="27"/>
      <c r="D2" s="27"/>
      <c r="E2" s="27"/>
      <c r="F2" s="27"/>
    </row>
    <row r="3" customFormat="false" ht="23.25" hidden="false" customHeight="true" outlineLevel="0" collapsed="false">
      <c r="A3" s="4" t="s">
        <v>1090</v>
      </c>
      <c r="B3" s="27"/>
      <c r="C3" s="27"/>
      <c r="D3" s="27"/>
      <c r="E3" s="27"/>
      <c r="F3" s="27"/>
    </row>
    <row r="4" customFormat="false" ht="45.75" hidden="false" customHeight="true" outlineLevel="0" collapsed="false">
      <c r="A4" s="3" t="s">
        <v>2287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1092</v>
      </c>
      <c r="C7" s="30"/>
      <c r="D7" s="30"/>
      <c r="E7" s="30"/>
      <c r="F7" s="30"/>
    </row>
    <row r="8" customFormat="false" ht="15" hidden="false" customHeight="true" outlineLevel="0" collapsed="false">
      <c r="A8" s="29" t="s">
        <v>2156</v>
      </c>
      <c r="B8" s="30" t="s">
        <v>2178</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3.25" hidden="false" customHeight="true" outlineLevel="0" collapsed="false">
      <c r="A12" s="29" t="s">
        <v>2160</v>
      </c>
      <c r="B12" s="30" t="s">
        <v>2179</v>
      </c>
      <c r="C12" s="30"/>
      <c r="D12" s="30"/>
      <c r="E12" s="30"/>
      <c r="F12" s="30"/>
    </row>
    <row r="13" customFormat="false" ht="34.5" hidden="false" customHeight="true" outlineLevel="0" collapsed="false">
      <c r="A13" s="29" t="s">
        <v>2161</v>
      </c>
      <c r="B13" s="30" t="s">
        <v>2180</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158</v>
      </c>
      <c r="C16" s="30"/>
      <c r="D16" s="30"/>
      <c r="E16" s="30"/>
      <c r="F16" s="30"/>
    </row>
    <row r="17" customFormat="false" ht="15" hidden="false" customHeight="true" outlineLevel="0" collapsed="false">
      <c r="A17" s="29" t="s">
        <v>627</v>
      </c>
      <c r="B17" s="30" t="s">
        <v>1092</v>
      </c>
      <c r="C17" s="30"/>
      <c r="D17" s="30"/>
      <c r="E17" s="30"/>
      <c r="F17" s="30"/>
    </row>
    <row r="18" customFormat="false" ht="15" hidden="false" customHeight="true" outlineLevel="0" collapsed="false">
      <c r="A18" s="29" t="s">
        <v>628</v>
      </c>
      <c r="B18" s="30" t="s">
        <v>1093</v>
      </c>
      <c r="C18" s="30"/>
      <c r="D18" s="30"/>
      <c r="E18" s="30"/>
      <c r="F18" s="30"/>
    </row>
    <row r="19" customFormat="false" ht="15" hidden="false" customHeight="true" outlineLevel="0" collapsed="false">
      <c r="A19" s="29" t="s">
        <v>629</v>
      </c>
      <c r="B19" s="30" t="s">
        <v>1094</v>
      </c>
      <c r="C19" s="30"/>
      <c r="D19" s="30"/>
      <c r="E19" s="30"/>
      <c r="F19" s="30"/>
    </row>
    <row r="20" customFormat="false" ht="15" hidden="false" customHeight="true" outlineLevel="0" collapsed="false">
      <c r="A20" s="29" t="s">
        <v>630</v>
      </c>
      <c r="B20" s="30" t="s">
        <v>1095</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1524</v>
      </c>
      <c r="B24" s="28"/>
      <c r="C24" s="28"/>
      <c r="D24" s="28"/>
      <c r="E24" s="28"/>
      <c r="F24" s="28"/>
    </row>
    <row r="25" customFormat="false" ht="15" hidden="false" customHeight="true" outlineLevel="0" collapsed="false">
      <c r="A25" s="29" t="s">
        <v>634</v>
      </c>
      <c r="B25" s="30"/>
      <c r="C25" s="30"/>
      <c r="D25" s="30"/>
      <c r="E25" s="30"/>
      <c r="F25" s="30"/>
    </row>
    <row r="26" customFormat="false" ht="15" hidden="false" customHeight="true" outlineLevel="0" collapsed="false">
      <c r="A26" s="29" t="s">
        <v>635</v>
      </c>
      <c r="B26" s="30"/>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772</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c r="C30" s="30"/>
      <c r="D30" s="30"/>
      <c r="E30" s="30"/>
      <c r="F30" s="30"/>
    </row>
    <row r="31" customFormat="false" ht="15" hidden="false" customHeight="true" outlineLevel="0" collapsed="false">
      <c r="A31" s="29" t="s">
        <v>640</v>
      </c>
      <c r="B31" s="30" t="s">
        <v>1096</v>
      </c>
      <c r="C31" s="30"/>
      <c r="D31" s="30"/>
      <c r="E31" s="30"/>
      <c r="F31" s="30"/>
    </row>
    <row r="32" customFormat="false" ht="15" hidden="false" customHeight="true" outlineLevel="0" collapsed="false">
      <c r="A32" s="29" t="s">
        <v>641</v>
      </c>
      <c r="B32" s="30"/>
      <c r="C32" s="30"/>
      <c r="D32" s="30"/>
      <c r="E32" s="30"/>
      <c r="F32" s="30"/>
    </row>
    <row r="33" customFormat="false" ht="15" hidden="false" customHeight="true" outlineLevel="0" collapsed="false">
      <c r="A33" s="29" t="s">
        <v>642</v>
      </c>
      <c r="B33" s="30"/>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315</v>
      </c>
      <c r="C36" s="30"/>
      <c r="D36" s="30"/>
      <c r="E36" s="30"/>
      <c r="F36" s="30"/>
    </row>
    <row r="37" customFormat="false" ht="15" hidden="false" customHeight="true" outlineLevel="0" collapsed="false">
      <c r="A37" s="29" t="s">
        <v>644</v>
      </c>
      <c r="B37" s="30" t="s">
        <v>162</v>
      </c>
      <c r="C37" s="30"/>
      <c r="D37" s="30"/>
      <c r="E37" s="30"/>
      <c r="F37" s="30"/>
    </row>
    <row r="38" customFormat="false" ht="15" hidden="false" customHeight="true" outlineLevel="0" collapsed="false">
      <c r="A38" s="29" t="s">
        <v>646</v>
      </c>
      <c r="B38" s="30" t="s">
        <v>1097</v>
      </c>
      <c r="C38" s="30"/>
      <c r="D38" s="30"/>
      <c r="E38" s="30"/>
      <c r="F38" s="30"/>
    </row>
    <row r="39" customFormat="false" ht="15" hidden="false" customHeight="true" outlineLevel="0" collapsed="false">
      <c r="A39" s="29" t="s">
        <v>647</v>
      </c>
      <c r="B39" s="30" t="s">
        <v>1098</v>
      </c>
      <c r="C39" s="30"/>
      <c r="D39" s="30"/>
      <c r="E39" s="30"/>
      <c r="F39" s="30"/>
    </row>
    <row r="40" customFormat="false" ht="15" hidden="false" customHeight="true" outlineLevel="0" collapsed="false">
      <c r="A40" s="29" t="s">
        <v>648</v>
      </c>
      <c r="B40" s="30" t="s">
        <v>1099</v>
      </c>
      <c r="C40" s="30"/>
      <c r="D40" s="30"/>
      <c r="E40" s="30"/>
      <c r="F40" s="30"/>
    </row>
    <row r="41" customFormat="false" ht="15" hidden="false" customHeight="true" outlineLevel="0" collapsed="false">
      <c r="A41" s="27"/>
      <c r="B41" s="27"/>
      <c r="C41" s="27"/>
      <c r="D41" s="27"/>
      <c r="E41" s="27"/>
      <c r="F41" s="27"/>
    </row>
    <row r="42" customFormat="false" ht="15" hidden="false" customHeight="true" outlineLevel="0" collapsed="false">
      <c r="A42" s="28" t="s">
        <v>614</v>
      </c>
      <c r="B42" s="28"/>
      <c r="C42" s="28"/>
      <c r="D42" s="28"/>
      <c r="E42" s="28"/>
      <c r="F42" s="28"/>
    </row>
    <row r="43" customFormat="false" ht="15" hidden="false" customHeight="true" outlineLevel="0" collapsed="false">
      <c r="A43" s="29" t="s">
        <v>657</v>
      </c>
      <c r="B43" s="30" t="s">
        <v>1100</v>
      </c>
      <c r="C43" s="30"/>
      <c r="D43" s="30"/>
      <c r="E43" s="30"/>
      <c r="F43" s="30"/>
    </row>
    <row r="44" customFormat="false" ht="15" hidden="false" customHeight="true" outlineLevel="0" collapsed="false">
      <c r="A44" s="29" t="s">
        <v>658</v>
      </c>
      <c r="B44" s="30" t="s">
        <v>809</v>
      </c>
      <c r="C44" s="30"/>
      <c r="D44" s="30"/>
      <c r="E44" s="30"/>
      <c r="F44" s="30"/>
    </row>
    <row r="45" customFormat="false" ht="23.25" hidden="false" customHeight="true" outlineLevel="0" collapsed="false">
      <c r="A45" s="29" t="s">
        <v>659</v>
      </c>
      <c r="B45" s="30" t="s">
        <v>1101</v>
      </c>
      <c r="C45" s="30"/>
      <c r="D45" s="30"/>
      <c r="E45" s="30"/>
      <c r="F45" s="30"/>
    </row>
    <row r="46" customFormat="false" ht="15" hidden="false" customHeight="true" outlineLevel="0" collapsed="false">
      <c r="A46" s="27"/>
      <c r="B46" s="27"/>
      <c r="C46" s="27"/>
      <c r="D46" s="27"/>
      <c r="E46" s="27"/>
      <c r="F46" s="27"/>
    </row>
    <row r="47" customFormat="false" ht="15" hidden="false" customHeight="true" outlineLevel="0" collapsed="false">
      <c r="A47" s="28" t="s">
        <v>2226</v>
      </c>
      <c r="B47" s="28"/>
      <c r="C47" s="28"/>
      <c r="D47" s="28"/>
      <c r="E47" s="28"/>
      <c r="F47" s="28"/>
    </row>
    <row r="48" customFormat="false" ht="15" hidden="false" customHeight="true" outlineLevel="0" collapsed="false">
      <c r="A48" s="29" t="s">
        <v>2299</v>
      </c>
      <c r="B48" s="30" t="s">
        <v>2300</v>
      </c>
      <c r="C48" s="30"/>
      <c r="D48" s="30"/>
      <c r="E48" s="30"/>
      <c r="F48" s="30"/>
    </row>
    <row r="49" customFormat="false" ht="15" hidden="false" customHeight="true" outlineLevel="0" collapsed="false">
      <c r="A49" s="27"/>
      <c r="B49" s="27"/>
      <c r="C49" s="27"/>
      <c r="D49" s="27"/>
      <c r="E49" s="27"/>
      <c r="F49" s="27"/>
    </row>
    <row r="50" customFormat="false" ht="15" hidden="false" customHeight="true" outlineLevel="0" collapsed="false">
      <c r="A50" s="28" t="s">
        <v>2240</v>
      </c>
      <c r="B50" s="28"/>
      <c r="C50" s="28"/>
      <c r="D50" s="28"/>
      <c r="E50" s="28"/>
      <c r="F50" s="28"/>
    </row>
    <row r="51" customFormat="false" ht="15" hidden="false" customHeight="true" outlineLevel="0" collapsed="false">
      <c r="A51" s="29" t="s">
        <v>669</v>
      </c>
      <c r="B51" s="30" t="s">
        <v>1102</v>
      </c>
      <c r="C51" s="30"/>
      <c r="D51" s="30"/>
      <c r="E51" s="30"/>
      <c r="F51" s="30"/>
    </row>
    <row r="52" customFormat="false" ht="23.25" hidden="false" customHeight="true" outlineLevel="0" collapsed="false">
      <c r="A52" s="29" t="s">
        <v>670</v>
      </c>
      <c r="B52" s="30" t="s">
        <v>1103</v>
      </c>
      <c r="C52" s="30"/>
      <c r="D52" s="30"/>
      <c r="E52" s="30"/>
      <c r="F52" s="30"/>
    </row>
    <row r="53" customFormat="false" ht="45.75" hidden="false" customHeight="true" outlineLevel="0" collapsed="false">
      <c r="A53" s="29" t="s">
        <v>671</v>
      </c>
      <c r="B53" s="30" t="s">
        <v>1104</v>
      </c>
      <c r="C53" s="30"/>
      <c r="D53" s="30"/>
      <c r="E53" s="30"/>
      <c r="F53" s="30"/>
    </row>
    <row r="54" customFormat="false" ht="15" hidden="false" customHeight="true" outlineLevel="0" collapsed="false">
      <c r="A54" s="27"/>
      <c r="B54" s="27"/>
      <c r="C54" s="27"/>
      <c r="D54" s="27"/>
      <c r="E54" s="27"/>
      <c r="F54" s="27"/>
    </row>
    <row r="55" customFormat="false" ht="15" hidden="false" customHeight="true" outlineLevel="0" collapsed="false">
      <c r="A55" s="28" t="s">
        <v>2276</v>
      </c>
      <c r="B55" s="28"/>
      <c r="C55" s="28"/>
      <c r="D55" s="28"/>
      <c r="E55" s="28"/>
      <c r="F55" s="28"/>
    </row>
    <row r="56" customFormat="false" ht="15" hidden="false" customHeight="true" outlineLevel="0" collapsed="false">
      <c r="A56" s="29" t="s">
        <v>2277</v>
      </c>
      <c r="B56" s="29" t="s">
        <v>2278</v>
      </c>
      <c r="C56" s="29" t="s">
        <v>24</v>
      </c>
      <c r="D56" s="27"/>
      <c r="E56" s="27"/>
      <c r="F56" s="27"/>
    </row>
    <row r="57" customFormat="false" ht="15" hidden="false" customHeight="true" outlineLevel="0" collapsed="false">
      <c r="A57" s="3" t="s">
        <v>2279</v>
      </c>
      <c r="B57" s="3" t="s">
        <v>162</v>
      </c>
      <c r="C57" s="3" t="s">
        <v>797</v>
      </c>
      <c r="D57" s="27"/>
      <c r="E57" s="27"/>
      <c r="F57" s="27"/>
    </row>
    <row r="58" customFormat="false" ht="23.25" hidden="false" customHeight="true" outlineLevel="0" collapsed="false">
      <c r="A58" s="3" t="s">
        <v>2280</v>
      </c>
      <c r="B58" s="3" t="s">
        <v>1105</v>
      </c>
      <c r="C58" s="3" t="s">
        <v>996</v>
      </c>
      <c r="D58" s="27"/>
      <c r="E58" s="27"/>
      <c r="F58" s="27"/>
    </row>
    <row r="59" customFormat="false" ht="15" hidden="false" customHeight="true" outlineLevel="0" collapsed="false">
      <c r="A59" s="3" t="s">
        <v>2281</v>
      </c>
      <c r="B59" s="3" t="s">
        <v>1106</v>
      </c>
      <c r="C59" s="3" t="s">
        <v>996</v>
      </c>
      <c r="D59" s="27"/>
      <c r="E59" s="27"/>
      <c r="F59" s="27"/>
    </row>
    <row r="60" customFormat="false" ht="15" hidden="false" customHeight="true" outlineLevel="0" collapsed="false">
      <c r="A60" s="3" t="s">
        <v>2227</v>
      </c>
      <c r="B60" s="3" t="s">
        <v>809</v>
      </c>
      <c r="C60" s="3" t="s">
        <v>804</v>
      </c>
      <c r="D60" s="27"/>
      <c r="E60" s="27"/>
      <c r="F60" s="27"/>
    </row>
    <row r="61" customFormat="false" ht="15" hidden="false" customHeight="true" outlineLevel="0" collapsed="false">
      <c r="A61" s="3" t="s">
        <v>2229</v>
      </c>
      <c r="B61" s="3" t="s">
        <v>809</v>
      </c>
      <c r="C61" s="3" t="s">
        <v>804</v>
      </c>
      <c r="D61" s="27"/>
      <c r="E61" s="27"/>
      <c r="F61" s="27"/>
    </row>
    <row r="62" customFormat="false" ht="15" hidden="false" customHeight="true" outlineLevel="0" collapsed="false">
      <c r="A62" s="3" t="s">
        <v>2230</v>
      </c>
      <c r="B62" s="3" t="s">
        <v>809</v>
      </c>
      <c r="C62" s="3" t="s">
        <v>804</v>
      </c>
      <c r="D62" s="27"/>
      <c r="E62" s="27"/>
      <c r="F62" s="27"/>
    </row>
    <row r="63" customFormat="false" ht="23.25" hidden="false" customHeight="true" outlineLevel="0" collapsed="false">
      <c r="A63" s="3" t="s">
        <v>2282</v>
      </c>
      <c r="B63" s="3" t="s">
        <v>1107</v>
      </c>
      <c r="C63" s="3" t="s">
        <v>797</v>
      </c>
      <c r="D63" s="27"/>
      <c r="E63" s="27"/>
      <c r="F63" s="27"/>
    </row>
    <row r="64" customFormat="false" ht="15" hidden="false" customHeight="true" outlineLevel="0" collapsed="false">
      <c r="A64" s="3" t="s">
        <v>2283</v>
      </c>
      <c r="B64" s="3" t="s">
        <v>1108</v>
      </c>
      <c r="C64" s="3" t="s">
        <v>1089</v>
      </c>
      <c r="D64" s="27"/>
      <c r="E64" s="27"/>
      <c r="F64" s="27"/>
    </row>
    <row r="65" customFormat="false" ht="15" hidden="false" customHeight="true" outlineLevel="0" collapsed="false">
      <c r="A65" s="3" t="s">
        <v>2284</v>
      </c>
      <c r="B65" s="3" t="s">
        <v>809</v>
      </c>
      <c r="C65" s="3" t="s">
        <v>867</v>
      </c>
      <c r="D65" s="27"/>
      <c r="E65" s="27"/>
      <c r="F65" s="27"/>
    </row>
    <row r="66" customFormat="false" ht="15" hidden="false" customHeight="true" outlineLevel="0" collapsed="false">
      <c r="A66" s="27"/>
      <c r="B66" s="27"/>
      <c r="C66" s="27"/>
      <c r="D66" s="27"/>
      <c r="E66" s="27"/>
      <c r="F66" s="27"/>
    </row>
    <row r="67" customFormat="false" ht="15" hidden="false" customHeight="true" outlineLevel="0" collapsed="false">
      <c r="A67" s="28" t="s">
        <v>2285</v>
      </c>
      <c r="B67" s="28"/>
      <c r="C67" s="28"/>
      <c r="D67" s="28"/>
      <c r="E67" s="28"/>
      <c r="F67" s="28"/>
    </row>
    <row r="68" customFormat="false" ht="15" hidden="false" customHeight="true" outlineLevel="0" collapsed="false">
      <c r="A68" s="29" t="s">
        <v>1553</v>
      </c>
      <c r="B68" s="29" t="s">
        <v>1554</v>
      </c>
      <c r="C68" s="29" t="s">
        <v>1555</v>
      </c>
      <c r="D68" s="29" t="s">
        <v>1556</v>
      </c>
      <c r="E68" s="29" t="s">
        <v>1557</v>
      </c>
      <c r="F68" s="27"/>
    </row>
    <row r="69" customFormat="false" ht="68.25" hidden="false" customHeight="true" outlineLevel="0" collapsed="false">
      <c r="A69" s="3" t="s">
        <v>1558</v>
      </c>
      <c r="B69" s="3" t="s">
        <v>1827</v>
      </c>
      <c r="C69" s="3" t="s">
        <v>1828</v>
      </c>
      <c r="D69" s="3" t="s">
        <v>1829</v>
      </c>
      <c r="E69" s="3" t="s">
        <v>1830</v>
      </c>
      <c r="F69" s="27"/>
    </row>
    <row r="70" customFormat="false" ht="23.25" hidden="false" customHeight="true" outlineLevel="0" collapsed="false">
      <c r="A70" s="3" t="s">
        <v>1558</v>
      </c>
      <c r="B70" s="3" t="s">
        <v>1093</v>
      </c>
      <c r="C70" s="3" t="s">
        <v>1831</v>
      </c>
      <c r="D70" s="3" t="s">
        <v>1832</v>
      </c>
      <c r="E70" s="3" t="s">
        <v>1833</v>
      </c>
      <c r="F70" s="27"/>
    </row>
    <row r="71" customFormat="false" ht="15" hidden="false" customHeight="true" outlineLevel="0" collapsed="false">
      <c r="A71" s="3" t="s">
        <v>1834</v>
      </c>
      <c r="B71" s="3" t="s">
        <v>1835</v>
      </c>
      <c r="C71" s="3" t="s">
        <v>1836</v>
      </c>
      <c r="D71" s="3" t="s">
        <v>1837</v>
      </c>
      <c r="E71" s="3" t="s">
        <v>1838</v>
      </c>
      <c r="F71" s="27"/>
    </row>
    <row r="72" customFormat="false" ht="34.5" hidden="false" customHeight="true" outlineLevel="0" collapsed="false">
      <c r="A72" s="3" t="s">
        <v>1616</v>
      </c>
      <c r="B72" s="3" t="s">
        <v>1839</v>
      </c>
      <c r="C72" s="3" t="s">
        <v>1840</v>
      </c>
      <c r="D72" s="3" t="s">
        <v>1841</v>
      </c>
      <c r="E72" s="3" t="s">
        <v>1842</v>
      </c>
      <c r="F72" s="27"/>
    </row>
    <row r="73" customFormat="false" ht="23.25" hidden="false" customHeight="true" outlineLevel="0" collapsed="false">
      <c r="A73" s="3" t="s">
        <v>1616</v>
      </c>
      <c r="B73" s="3" t="s">
        <v>1843</v>
      </c>
      <c r="C73" s="3" t="s">
        <v>1844</v>
      </c>
      <c r="D73" s="3" t="s">
        <v>1845</v>
      </c>
      <c r="E73" s="3" t="s">
        <v>1846</v>
      </c>
      <c r="F73" s="27"/>
    </row>
    <row r="74" customFormat="false" ht="23.25" hidden="false" customHeight="true" outlineLevel="0" collapsed="false">
      <c r="A74" s="3" t="s">
        <v>1616</v>
      </c>
      <c r="B74" s="3" t="s">
        <v>1847</v>
      </c>
      <c r="C74" s="3" t="s">
        <v>1848</v>
      </c>
      <c r="D74" s="3" t="s">
        <v>1849</v>
      </c>
      <c r="E74" s="3" t="s">
        <v>1850</v>
      </c>
      <c r="F74" s="27"/>
    </row>
    <row r="75" customFormat="false" ht="23.25" hidden="false" customHeight="true" outlineLevel="0" collapsed="false">
      <c r="A75" s="3" t="s">
        <v>1616</v>
      </c>
      <c r="B75" s="3" t="s">
        <v>1851</v>
      </c>
      <c r="C75" s="3" t="s">
        <v>1848</v>
      </c>
      <c r="D75" s="3" t="s">
        <v>1852</v>
      </c>
      <c r="E75" s="3" t="s">
        <v>1853</v>
      </c>
      <c r="F75" s="27"/>
    </row>
    <row r="76" customFormat="false" ht="23.25" hidden="false" customHeight="true" outlineLevel="0" collapsed="false">
      <c r="A76" s="3" t="s">
        <v>1616</v>
      </c>
      <c r="B76" s="3" t="s">
        <v>1854</v>
      </c>
      <c r="C76" s="3" t="s">
        <v>1848</v>
      </c>
      <c r="D76" s="3" t="s">
        <v>1855</v>
      </c>
      <c r="E76" s="3" t="s">
        <v>1856</v>
      </c>
      <c r="F76" s="27"/>
    </row>
    <row r="77" customFormat="false" ht="23.25" hidden="false" customHeight="true" outlineLevel="0" collapsed="false">
      <c r="A77" s="3" t="s">
        <v>1729</v>
      </c>
      <c r="B77" s="3" t="s">
        <v>1857</v>
      </c>
      <c r="C77" s="3" t="s">
        <v>809</v>
      </c>
      <c r="D77" s="3" t="s">
        <v>809</v>
      </c>
      <c r="E77" s="3" t="s">
        <v>1858</v>
      </c>
      <c r="F77" s="27"/>
    </row>
    <row r="78" customFormat="false" ht="34.5" hidden="false" customHeight="true" outlineLevel="0" collapsed="false">
      <c r="A78" s="3" t="s">
        <v>1596</v>
      </c>
      <c r="B78" s="3" t="s">
        <v>1859</v>
      </c>
      <c r="C78" s="3" t="s">
        <v>1860</v>
      </c>
      <c r="D78" s="3" t="s">
        <v>1861</v>
      </c>
      <c r="E78" s="3" t="s">
        <v>1862</v>
      </c>
      <c r="F78" s="27"/>
    </row>
    <row r="79" customFormat="false" ht="45.75" hidden="false" customHeight="true" outlineLevel="0" collapsed="false">
      <c r="A79" s="3" t="s">
        <v>1596</v>
      </c>
      <c r="B79" s="3" t="s">
        <v>1863</v>
      </c>
      <c r="C79" s="3" t="s">
        <v>1860</v>
      </c>
      <c r="D79" s="3" t="s">
        <v>1864</v>
      </c>
      <c r="E79" s="3" t="s">
        <v>1865</v>
      </c>
      <c r="F79" s="27"/>
    </row>
    <row r="80" customFormat="false" ht="79.5" hidden="false" customHeight="true" outlineLevel="0" collapsed="false">
      <c r="A80" s="3" t="s">
        <v>1596</v>
      </c>
      <c r="B80" s="3" t="s">
        <v>1866</v>
      </c>
      <c r="C80" s="3" t="s">
        <v>1867</v>
      </c>
      <c r="D80" s="3" t="s">
        <v>1868</v>
      </c>
      <c r="E80" s="3" t="s">
        <v>1869</v>
      </c>
      <c r="F80" s="27"/>
    </row>
    <row r="81" customFormat="false" ht="15" hidden="false" customHeight="true" outlineLevel="0" collapsed="false">
      <c r="A81" s="27"/>
      <c r="B81" s="27"/>
      <c r="C81" s="27"/>
      <c r="D81" s="27"/>
      <c r="E81" s="27"/>
      <c r="F81" s="27"/>
    </row>
    <row r="82" customFormat="false" ht="15" hidden="false" customHeight="true" outlineLevel="0" collapsed="false">
      <c r="A82" s="28" t="s">
        <v>744</v>
      </c>
      <c r="B82" s="28"/>
      <c r="C82" s="28"/>
      <c r="D82" s="28"/>
      <c r="E82" s="28"/>
      <c r="F82" s="28"/>
    </row>
    <row r="83" customFormat="false" ht="34.5" hidden="false" customHeight="true" outlineLevel="0" collapsed="false">
      <c r="A83" s="29" t="s">
        <v>2265</v>
      </c>
      <c r="B83" s="30" t="s">
        <v>2301</v>
      </c>
      <c r="C83" s="30"/>
      <c r="D83" s="30"/>
      <c r="E83" s="30"/>
      <c r="F83" s="30"/>
    </row>
    <row r="84" customFormat="false" ht="15" hidden="false" customHeight="true" outlineLevel="0" collapsed="false">
      <c r="A84" s="29" t="s">
        <v>2265</v>
      </c>
      <c r="B84" s="30" t="s">
        <v>2302</v>
      </c>
      <c r="C84" s="30"/>
      <c r="D84" s="30"/>
      <c r="E84" s="30"/>
      <c r="F84" s="30"/>
    </row>
    <row r="85" customFormat="false" ht="23.25" hidden="false" customHeight="true" outlineLevel="0" collapsed="false">
      <c r="A85" s="29" t="s">
        <v>2265</v>
      </c>
      <c r="B85" s="30" t="s">
        <v>2303</v>
      </c>
      <c r="C85" s="30"/>
      <c r="D85" s="30"/>
      <c r="E85" s="30"/>
      <c r="F85" s="30"/>
    </row>
    <row r="86" customFormat="false" ht="15" hidden="false" customHeight="true" outlineLevel="0" collapsed="false">
      <c r="A86" s="29" t="s">
        <v>2265</v>
      </c>
      <c r="B86" s="30" t="s">
        <v>2304</v>
      </c>
      <c r="C86" s="30"/>
      <c r="D86" s="30"/>
      <c r="E86" s="30"/>
      <c r="F86" s="30"/>
    </row>
    <row r="87" customFormat="false" ht="57" hidden="false" customHeight="true" outlineLevel="0" collapsed="false">
      <c r="A87" s="29" t="s">
        <v>2265</v>
      </c>
      <c r="B87" s="30" t="s">
        <v>2305</v>
      </c>
      <c r="C87" s="30"/>
      <c r="D87" s="30"/>
      <c r="E87" s="30"/>
      <c r="F87" s="30"/>
    </row>
  </sheetData>
  <mergeCells count="50">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A42:F42"/>
    <mergeCell ref="B43:F43"/>
    <mergeCell ref="B44:F44"/>
    <mergeCell ref="B45:F45"/>
    <mergeCell ref="A47:F47"/>
    <mergeCell ref="B48:F48"/>
    <mergeCell ref="A50:F50"/>
    <mergeCell ref="B51:F51"/>
    <mergeCell ref="B52:F52"/>
    <mergeCell ref="B53:F53"/>
    <mergeCell ref="A55:F55"/>
    <mergeCell ref="A67:F67"/>
    <mergeCell ref="A82:F82"/>
    <mergeCell ref="B83:F83"/>
    <mergeCell ref="B84:F84"/>
    <mergeCell ref="B85:F85"/>
    <mergeCell ref="B86:F86"/>
    <mergeCell ref="B87:F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75" hidden="false" customHeight="true" outlineLevel="0" collapsed="false">
      <c r="A1" s="25" t="s">
        <v>2306</v>
      </c>
    </row>
    <row r="2" customFormat="false" ht="34.5" hidden="false" customHeight="true" outlineLevel="0" collapsed="false">
      <c r="A2" s="26" t="s">
        <v>1112</v>
      </c>
      <c r="B2" s="27"/>
      <c r="C2" s="27"/>
      <c r="D2" s="27"/>
      <c r="E2" s="27"/>
      <c r="F2" s="27"/>
    </row>
    <row r="3" customFormat="false" ht="34.5" hidden="false" customHeight="true" outlineLevel="0" collapsed="false">
      <c r="A3" s="4" t="s">
        <v>1111</v>
      </c>
      <c r="B3" s="27"/>
      <c r="C3" s="27"/>
      <c r="D3" s="27"/>
      <c r="E3" s="27"/>
      <c r="F3" s="27"/>
    </row>
    <row r="4" customFormat="false" ht="45.75" hidden="false" customHeight="true" outlineLevel="0" collapsed="false">
      <c r="A4" s="3" t="s">
        <v>2307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1113</v>
      </c>
      <c r="C7" s="30"/>
      <c r="D7" s="30"/>
      <c r="E7" s="30"/>
      <c r="F7" s="30"/>
    </row>
    <row r="8" customFormat="false" ht="15" hidden="false" customHeight="true" outlineLevel="0" collapsed="false">
      <c r="A8" s="29" t="s">
        <v>2156</v>
      </c>
      <c r="B8" s="30" t="s">
        <v>106</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34.5" hidden="false" customHeight="true" outlineLevel="0" collapsed="false">
      <c r="A12" s="29" t="s">
        <v>2160</v>
      </c>
      <c r="B12" s="30" t="s">
        <v>2181</v>
      </c>
      <c r="C12" s="30"/>
      <c r="D12" s="30"/>
      <c r="E12" s="30"/>
      <c r="F12" s="30"/>
    </row>
    <row r="13" customFormat="false" ht="45.75" hidden="false" customHeight="true" outlineLevel="0" collapsed="false">
      <c r="A13" s="29" t="s">
        <v>2161</v>
      </c>
      <c r="B13" s="30" t="s">
        <v>2182</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104</v>
      </c>
      <c r="C16" s="30"/>
      <c r="D16" s="30"/>
      <c r="E16" s="30"/>
      <c r="F16" s="30"/>
    </row>
    <row r="17" customFormat="false" ht="15" hidden="false" customHeight="true" outlineLevel="0" collapsed="false">
      <c r="A17" s="29" t="s">
        <v>627</v>
      </c>
      <c r="B17" s="30" t="s">
        <v>1113</v>
      </c>
      <c r="C17" s="30"/>
      <c r="D17" s="30"/>
      <c r="E17" s="30"/>
      <c r="F17" s="30"/>
    </row>
    <row r="18" customFormat="false" ht="15" hidden="false" customHeight="true" outlineLevel="0" collapsed="false">
      <c r="A18" s="29" t="s">
        <v>628</v>
      </c>
      <c r="B18" s="30" t="s">
        <v>1114</v>
      </c>
      <c r="C18" s="30"/>
      <c r="D18" s="30"/>
      <c r="E18" s="30"/>
      <c r="F18" s="30"/>
    </row>
    <row r="19" customFormat="false" ht="15" hidden="false" customHeight="true" outlineLevel="0" collapsed="false">
      <c r="A19" s="29" t="s">
        <v>629</v>
      </c>
      <c r="B19" s="30" t="s">
        <v>1094</v>
      </c>
      <c r="C19" s="30"/>
      <c r="D19" s="30"/>
      <c r="E19" s="30"/>
      <c r="F19" s="30"/>
    </row>
    <row r="20" customFormat="false" ht="15" hidden="false" customHeight="true" outlineLevel="0" collapsed="false">
      <c r="A20" s="29" t="s">
        <v>630</v>
      </c>
      <c r="B20" s="30" t="s">
        <v>1115</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1525</v>
      </c>
      <c r="B24" s="28"/>
      <c r="C24" s="28"/>
      <c r="D24" s="28"/>
      <c r="E24" s="28"/>
      <c r="F24" s="28"/>
    </row>
    <row r="25" customFormat="false" ht="15" hidden="false" customHeight="true" outlineLevel="0" collapsed="false">
      <c r="A25" s="29" t="s">
        <v>634</v>
      </c>
      <c r="B25" s="30" t="s">
        <v>1526</v>
      </c>
      <c r="C25" s="30"/>
      <c r="D25" s="30"/>
      <c r="E25" s="30"/>
      <c r="F25" s="30"/>
    </row>
    <row r="26" customFormat="false" ht="15" hidden="false" customHeight="true" outlineLevel="0" collapsed="false">
      <c r="A26" s="29" t="s">
        <v>635</v>
      </c>
      <c r="B26" s="30" t="s">
        <v>1527</v>
      </c>
      <c r="C26" s="30"/>
      <c r="D26" s="30"/>
      <c r="E26" s="30"/>
      <c r="F26" s="30"/>
    </row>
    <row r="27" customFormat="false" ht="15" hidden="false" customHeight="true" outlineLevel="0" collapsed="false">
      <c r="A27" s="29" t="s">
        <v>636</v>
      </c>
      <c r="B27" s="30" t="s">
        <v>756</v>
      </c>
      <c r="C27" s="30"/>
      <c r="D27" s="30"/>
      <c r="E27" s="30"/>
      <c r="F27" s="30"/>
    </row>
    <row r="28" customFormat="false" ht="23.25" hidden="false" customHeight="true" outlineLevel="0" collapsed="false">
      <c r="A28" s="29" t="s">
        <v>637</v>
      </c>
      <c r="B28" s="30" t="s">
        <v>1528</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1529</v>
      </c>
      <c r="C31" s="30"/>
      <c r="D31" s="30"/>
      <c r="E31" s="30"/>
      <c r="F31" s="30"/>
    </row>
    <row r="32" customFormat="false" ht="23.25" hidden="false" customHeight="true" outlineLevel="0" collapsed="false">
      <c r="A32" s="29" t="s">
        <v>641</v>
      </c>
      <c r="B32" s="30" t="s">
        <v>1530</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1531</v>
      </c>
      <c r="B35" s="28"/>
      <c r="C35" s="28"/>
      <c r="D35" s="28"/>
      <c r="E35" s="28"/>
      <c r="F35" s="28"/>
    </row>
    <row r="36" customFormat="false" ht="15" hidden="false" customHeight="true" outlineLevel="0" collapsed="false">
      <c r="A36" s="29" t="s">
        <v>634</v>
      </c>
      <c r="B36" s="30" t="s">
        <v>1532</v>
      </c>
      <c r="C36" s="30"/>
      <c r="D36" s="30"/>
      <c r="E36" s="30"/>
      <c r="F36" s="30"/>
    </row>
    <row r="37" customFormat="false" ht="15" hidden="false" customHeight="true" outlineLevel="0" collapsed="false">
      <c r="A37" s="29" t="s">
        <v>635</v>
      </c>
      <c r="B37" s="30" t="s">
        <v>1533</v>
      </c>
      <c r="C37" s="30"/>
      <c r="D37" s="30"/>
      <c r="E37" s="30"/>
      <c r="F37" s="30"/>
    </row>
    <row r="38" customFormat="false" ht="15" hidden="false" customHeight="true" outlineLevel="0" collapsed="false">
      <c r="A38" s="29" t="s">
        <v>636</v>
      </c>
      <c r="B38" s="30" t="s">
        <v>756</v>
      </c>
      <c r="C38" s="30"/>
      <c r="D38" s="30"/>
      <c r="E38" s="30"/>
      <c r="F38" s="30"/>
    </row>
    <row r="39" customFormat="false" ht="15" hidden="false" customHeight="true" outlineLevel="0" collapsed="false">
      <c r="A39" s="29" t="s">
        <v>637</v>
      </c>
      <c r="B39" s="30" t="s">
        <v>1534</v>
      </c>
      <c r="C39" s="30"/>
      <c r="D39" s="30"/>
      <c r="E39" s="30"/>
      <c r="F39" s="30"/>
    </row>
    <row r="40" customFormat="false" ht="15" hidden="false" customHeight="true" outlineLevel="0" collapsed="false">
      <c r="A40" s="29" t="s">
        <v>638</v>
      </c>
      <c r="B40" s="30" t="s">
        <v>773</v>
      </c>
      <c r="C40" s="30"/>
      <c r="D40" s="30"/>
      <c r="E40" s="30"/>
      <c r="F40" s="30"/>
    </row>
    <row r="41" customFormat="false" ht="15" hidden="false" customHeight="true" outlineLevel="0" collapsed="false">
      <c r="A41" s="29" t="s">
        <v>639</v>
      </c>
      <c r="B41" s="30" t="s">
        <v>809</v>
      </c>
      <c r="C41" s="30"/>
      <c r="D41" s="30"/>
      <c r="E41" s="30"/>
      <c r="F41" s="30"/>
    </row>
    <row r="42" customFormat="false" ht="15" hidden="false" customHeight="true" outlineLevel="0" collapsed="false">
      <c r="A42" s="29" t="s">
        <v>640</v>
      </c>
      <c r="B42" s="30" t="s">
        <v>1535</v>
      </c>
      <c r="C42" s="30"/>
      <c r="D42" s="30"/>
      <c r="E42" s="30"/>
      <c r="F42" s="30"/>
    </row>
    <row r="43" customFormat="false" ht="15" hidden="false" customHeight="true" outlineLevel="0" collapsed="false">
      <c r="A43" s="29" t="s">
        <v>641</v>
      </c>
      <c r="B43" s="30" t="s">
        <v>1536</v>
      </c>
      <c r="C43" s="30"/>
      <c r="D43" s="30"/>
      <c r="E43" s="30"/>
      <c r="F43" s="30"/>
    </row>
    <row r="44" customFormat="false" ht="15" hidden="false" customHeight="true" outlineLevel="0" collapsed="false">
      <c r="A44" s="29" t="s">
        <v>642</v>
      </c>
      <c r="B44" s="30" t="s">
        <v>773</v>
      </c>
      <c r="C44" s="30"/>
      <c r="D44" s="30"/>
      <c r="E44" s="30"/>
      <c r="F44" s="30"/>
    </row>
    <row r="45" customFormat="false" ht="15" hidden="false" customHeight="true" outlineLevel="0" collapsed="false">
      <c r="A45" s="27"/>
      <c r="B45" s="27"/>
      <c r="C45" s="27"/>
      <c r="D45" s="27"/>
      <c r="E45" s="27"/>
      <c r="F45" s="27"/>
    </row>
    <row r="46" customFormat="false" ht="15" hidden="false" customHeight="true" outlineLevel="0" collapsed="false">
      <c r="A46" s="28" t="s">
        <v>1537</v>
      </c>
      <c r="B46" s="28"/>
      <c r="C46" s="28"/>
      <c r="D46" s="28"/>
      <c r="E46" s="28"/>
      <c r="F46" s="28"/>
    </row>
    <row r="47" customFormat="false" ht="15" hidden="false" customHeight="true" outlineLevel="0" collapsed="false">
      <c r="A47" s="29" t="s">
        <v>634</v>
      </c>
      <c r="B47" s="30" t="s">
        <v>1538</v>
      </c>
      <c r="C47" s="30"/>
      <c r="D47" s="30"/>
      <c r="E47" s="30"/>
      <c r="F47" s="30"/>
    </row>
    <row r="48" customFormat="false" ht="15" hidden="false" customHeight="true" outlineLevel="0" collapsed="false">
      <c r="A48" s="29" t="s">
        <v>635</v>
      </c>
      <c r="B48" s="30" t="s">
        <v>1539</v>
      </c>
      <c r="C48" s="30"/>
      <c r="D48" s="30"/>
      <c r="E48" s="30"/>
      <c r="F48" s="30"/>
    </row>
    <row r="49" customFormat="false" ht="15" hidden="false" customHeight="true" outlineLevel="0" collapsed="false">
      <c r="A49" s="29" t="s">
        <v>636</v>
      </c>
      <c r="B49" s="30" t="s">
        <v>756</v>
      </c>
      <c r="C49" s="30"/>
      <c r="D49" s="30"/>
      <c r="E49" s="30"/>
      <c r="F49" s="30"/>
    </row>
    <row r="50" customFormat="false" ht="15" hidden="false" customHeight="true" outlineLevel="0" collapsed="false">
      <c r="A50" s="29" t="s">
        <v>637</v>
      </c>
      <c r="B50" s="30" t="s">
        <v>1540</v>
      </c>
      <c r="C50" s="30"/>
      <c r="D50" s="30"/>
      <c r="E50" s="30"/>
      <c r="F50" s="30"/>
    </row>
    <row r="51" customFormat="false" ht="15" hidden="false" customHeight="true" outlineLevel="0" collapsed="false">
      <c r="A51" s="29" t="s">
        <v>638</v>
      </c>
      <c r="B51" s="30" t="s">
        <v>773</v>
      </c>
      <c r="C51" s="30"/>
      <c r="D51" s="30"/>
      <c r="E51" s="30"/>
      <c r="F51" s="30"/>
    </row>
    <row r="52" customFormat="false" ht="15" hidden="false" customHeight="true" outlineLevel="0" collapsed="false">
      <c r="A52" s="29" t="s">
        <v>639</v>
      </c>
      <c r="B52" s="30" t="s">
        <v>809</v>
      </c>
      <c r="C52" s="30"/>
      <c r="D52" s="30"/>
      <c r="E52" s="30"/>
      <c r="F52" s="30"/>
    </row>
    <row r="53" customFormat="false" ht="15" hidden="false" customHeight="true" outlineLevel="0" collapsed="false">
      <c r="A53" s="29" t="s">
        <v>640</v>
      </c>
      <c r="B53" s="30" t="s">
        <v>1535</v>
      </c>
      <c r="C53" s="30"/>
      <c r="D53" s="30"/>
      <c r="E53" s="30"/>
      <c r="F53" s="30"/>
    </row>
    <row r="54" customFormat="false" ht="15" hidden="false" customHeight="true" outlineLevel="0" collapsed="false">
      <c r="A54" s="29" t="s">
        <v>641</v>
      </c>
      <c r="B54" s="30" t="s">
        <v>1541</v>
      </c>
      <c r="C54" s="30"/>
      <c r="D54" s="30"/>
      <c r="E54" s="30"/>
      <c r="F54" s="30"/>
    </row>
    <row r="55" customFormat="false" ht="15" hidden="false" customHeight="true" outlineLevel="0" collapsed="false">
      <c r="A55" s="29" t="s">
        <v>642</v>
      </c>
      <c r="B55" s="30" t="s">
        <v>773</v>
      </c>
      <c r="C55" s="30"/>
      <c r="D55" s="30"/>
      <c r="E55" s="30"/>
      <c r="F55" s="30"/>
    </row>
    <row r="56" customFormat="false" ht="15" hidden="false" customHeight="true" outlineLevel="0" collapsed="false">
      <c r="A56" s="27"/>
      <c r="B56" s="27"/>
      <c r="C56" s="27"/>
      <c r="D56" s="27"/>
      <c r="E56" s="27"/>
      <c r="F56" s="27"/>
    </row>
    <row r="57" customFormat="false" ht="15" hidden="false" customHeight="true" outlineLevel="0" collapsed="false">
      <c r="A57" s="28" t="s">
        <v>1542</v>
      </c>
      <c r="B57" s="28"/>
      <c r="C57" s="28"/>
      <c r="D57" s="28"/>
      <c r="E57" s="28"/>
      <c r="F57" s="28"/>
    </row>
    <row r="58" customFormat="false" ht="15" hidden="false" customHeight="true" outlineLevel="0" collapsed="false">
      <c r="A58" s="29" t="s">
        <v>634</v>
      </c>
      <c r="B58" s="30" t="s">
        <v>1543</v>
      </c>
      <c r="C58" s="30"/>
      <c r="D58" s="30"/>
      <c r="E58" s="30"/>
      <c r="F58" s="30"/>
    </row>
    <row r="59" customFormat="false" ht="15" hidden="false" customHeight="true" outlineLevel="0" collapsed="false">
      <c r="A59" s="29" t="s">
        <v>635</v>
      </c>
      <c r="B59" s="30" t="s">
        <v>1544</v>
      </c>
      <c r="C59" s="30"/>
      <c r="D59" s="30"/>
      <c r="E59" s="30"/>
      <c r="F59" s="30"/>
    </row>
    <row r="60" customFormat="false" ht="15" hidden="false" customHeight="true" outlineLevel="0" collapsed="false">
      <c r="A60" s="29" t="s">
        <v>636</v>
      </c>
      <c r="B60" s="30" t="s">
        <v>756</v>
      </c>
      <c r="C60" s="30"/>
      <c r="D60" s="30"/>
      <c r="E60" s="30"/>
      <c r="F60" s="30"/>
    </row>
    <row r="61" customFormat="false" ht="15" hidden="false" customHeight="true" outlineLevel="0" collapsed="false">
      <c r="A61" s="29" t="s">
        <v>637</v>
      </c>
      <c r="B61" s="30" t="s">
        <v>1540</v>
      </c>
      <c r="C61" s="30"/>
      <c r="D61" s="30"/>
      <c r="E61" s="30"/>
      <c r="F61" s="30"/>
    </row>
    <row r="62" customFormat="false" ht="15" hidden="false" customHeight="true" outlineLevel="0" collapsed="false">
      <c r="A62" s="29" t="s">
        <v>638</v>
      </c>
      <c r="B62" s="30" t="s">
        <v>773</v>
      </c>
      <c r="C62" s="30"/>
      <c r="D62" s="30"/>
      <c r="E62" s="30"/>
      <c r="F62" s="30"/>
    </row>
    <row r="63" customFormat="false" ht="15" hidden="false" customHeight="true" outlineLevel="0" collapsed="false">
      <c r="A63" s="29" t="s">
        <v>639</v>
      </c>
      <c r="B63" s="30" t="s">
        <v>809</v>
      </c>
      <c r="C63" s="30"/>
      <c r="D63" s="30"/>
      <c r="E63" s="30"/>
      <c r="F63" s="30"/>
    </row>
    <row r="64" customFormat="false" ht="15" hidden="false" customHeight="true" outlineLevel="0" collapsed="false">
      <c r="A64" s="29" t="s">
        <v>640</v>
      </c>
      <c r="B64" s="30" t="s">
        <v>1535</v>
      </c>
      <c r="C64" s="30"/>
      <c r="D64" s="30"/>
      <c r="E64" s="30"/>
      <c r="F64" s="30"/>
    </row>
    <row r="65" customFormat="false" ht="15" hidden="false" customHeight="true" outlineLevel="0" collapsed="false">
      <c r="A65" s="29" t="s">
        <v>641</v>
      </c>
      <c r="B65" s="30" t="s">
        <v>1541</v>
      </c>
      <c r="C65" s="30"/>
      <c r="D65" s="30"/>
      <c r="E65" s="30"/>
      <c r="F65" s="30"/>
    </row>
    <row r="66" customFormat="false" ht="15" hidden="false" customHeight="true" outlineLevel="0" collapsed="false">
      <c r="A66" s="29" t="s">
        <v>642</v>
      </c>
      <c r="B66" s="30" t="s">
        <v>773</v>
      </c>
      <c r="C66" s="30"/>
      <c r="D66" s="30"/>
      <c r="E66" s="30"/>
      <c r="F66" s="30"/>
    </row>
    <row r="67" customFormat="false" ht="15" hidden="false" customHeight="true" outlineLevel="0" collapsed="false">
      <c r="A67" s="27"/>
      <c r="B67" s="27"/>
      <c r="C67" s="27"/>
      <c r="D67" s="27"/>
      <c r="E67" s="27"/>
      <c r="F67" s="27"/>
    </row>
    <row r="68" customFormat="false" ht="15" hidden="false" customHeight="true" outlineLevel="0" collapsed="false">
      <c r="A68" s="28" t="s">
        <v>1545</v>
      </c>
      <c r="B68" s="28"/>
      <c r="C68" s="28"/>
      <c r="D68" s="28"/>
      <c r="E68" s="28"/>
      <c r="F68" s="28"/>
    </row>
    <row r="69" customFormat="false" ht="15" hidden="false" customHeight="true" outlineLevel="0" collapsed="false">
      <c r="A69" s="29" t="s">
        <v>634</v>
      </c>
      <c r="B69" s="30" t="s">
        <v>1546</v>
      </c>
      <c r="C69" s="30"/>
      <c r="D69" s="30"/>
      <c r="E69" s="30"/>
      <c r="F69" s="30"/>
    </row>
    <row r="70" customFormat="false" ht="15" hidden="false" customHeight="true" outlineLevel="0" collapsed="false">
      <c r="A70" s="29" t="s">
        <v>635</v>
      </c>
      <c r="B70" s="30" t="s">
        <v>1547</v>
      </c>
      <c r="C70" s="30"/>
      <c r="D70" s="30"/>
      <c r="E70" s="30"/>
      <c r="F70" s="30"/>
    </row>
    <row r="71" customFormat="false" ht="15" hidden="false" customHeight="true" outlineLevel="0" collapsed="false">
      <c r="A71" s="29" t="s">
        <v>636</v>
      </c>
      <c r="B71" s="30" t="s">
        <v>756</v>
      </c>
      <c r="C71" s="30"/>
      <c r="D71" s="30"/>
      <c r="E71" s="30"/>
      <c r="F71" s="30"/>
    </row>
    <row r="72" customFormat="false" ht="15" hidden="false" customHeight="true" outlineLevel="0" collapsed="false">
      <c r="A72" s="29" t="s">
        <v>637</v>
      </c>
      <c r="B72" s="30" t="s">
        <v>1540</v>
      </c>
      <c r="C72" s="30"/>
      <c r="D72" s="30"/>
      <c r="E72" s="30"/>
      <c r="F72" s="30"/>
    </row>
    <row r="73" customFormat="false" ht="15" hidden="false" customHeight="true" outlineLevel="0" collapsed="false">
      <c r="A73" s="29" t="s">
        <v>638</v>
      </c>
      <c r="B73" s="30" t="s">
        <v>773</v>
      </c>
      <c r="C73" s="30"/>
      <c r="D73" s="30"/>
      <c r="E73" s="30"/>
      <c r="F73" s="30"/>
    </row>
    <row r="74" customFormat="false" ht="15" hidden="false" customHeight="true" outlineLevel="0" collapsed="false">
      <c r="A74" s="29" t="s">
        <v>639</v>
      </c>
      <c r="B74" s="30" t="s">
        <v>809</v>
      </c>
      <c r="C74" s="30"/>
      <c r="D74" s="30"/>
      <c r="E74" s="30"/>
      <c r="F74" s="30"/>
    </row>
    <row r="75" customFormat="false" ht="15" hidden="false" customHeight="true" outlineLevel="0" collapsed="false">
      <c r="A75" s="29" t="s">
        <v>640</v>
      </c>
      <c r="B75" s="30" t="s">
        <v>1535</v>
      </c>
      <c r="C75" s="30"/>
      <c r="D75" s="30"/>
      <c r="E75" s="30"/>
      <c r="F75" s="30"/>
    </row>
    <row r="76" customFormat="false" ht="15" hidden="false" customHeight="true" outlineLevel="0" collapsed="false">
      <c r="A76" s="29" t="s">
        <v>641</v>
      </c>
      <c r="B76" s="30" t="s">
        <v>1541</v>
      </c>
      <c r="C76" s="30"/>
      <c r="D76" s="30"/>
      <c r="E76" s="30"/>
      <c r="F76" s="30"/>
    </row>
    <row r="77" customFormat="false" ht="15" hidden="false" customHeight="true" outlineLevel="0" collapsed="false">
      <c r="A77" s="29" t="s">
        <v>642</v>
      </c>
      <c r="B77" s="30" t="s">
        <v>773</v>
      </c>
      <c r="C77" s="30"/>
      <c r="D77" s="30"/>
      <c r="E77" s="30"/>
      <c r="F77" s="30"/>
    </row>
    <row r="78" customFormat="false" ht="15" hidden="false" customHeight="true" outlineLevel="0" collapsed="false">
      <c r="A78" s="27"/>
      <c r="B78" s="27"/>
      <c r="C78" s="27"/>
      <c r="D78" s="27"/>
      <c r="E78" s="27"/>
      <c r="F78" s="27"/>
    </row>
    <row r="79" customFormat="false" ht="15" hidden="false" customHeight="true" outlineLevel="0" collapsed="false">
      <c r="A79" s="28" t="s">
        <v>1548</v>
      </c>
      <c r="B79" s="28"/>
      <c r="C79" s="28"/>
      <c r="D79" s="28"/>
      <c r="E79" s="28"/>
      <c r="F79" s="28"/>
    </row>
    <row r="80" customFormat="false" ht="15" hidden="false" customHeight="true" outlineLevel="0" collapsed="false">
      <c r="A80" s="29" t="s">
        <v>634</v>
      </c>
      <c r="B80" s="30" t="s">
        <v>1549</v>
      </c>
      <c r="C80" s="30"/>
      <c r="D80" s="30"/>
      <c r="E80" s="30"/>
      <c r="F80" s="30"/>
    </row>
    <row r="81" customFormat="false" ht="15" hidden="false" customHeight="true" outlineLevel="0" collapsed="false">
      <c r="A81" s="29" t="s">
        <v>635</v>
      </c>
      <c r="B81" s="30" t="s">
        <v>1550</v>
      </c>
      <c r="C81" s="30"/>
      <c r="D81" s="30"/>
      <c r="E81" s="30"/>
      <c r="F81" s="30"/>
    </row>
    <row r="82" customFormat="false" ht="15" hidden="false" customHeight="true" outlineLevel="0" collapsed="false">
      <c r="A82" s="29" t="s">
        <v>636</v>
      </c>
      <c r="B82" s="30" t="s">
        <v>756</v>
      </c>
      <c r="C82" s="30"/>
      <c r="D82" s="30"/>
      <c r="E82" s="30"/>
      <c r="F82" s="30"/>
    </row>
    <row r="83" customFormat="false" ht="15" hidden="false" customHeight="true" outlineLevel="0" collapsed="false">
      <c r="A83" s="29" t="s">
        <v>637</v>
      </c>
      <c r="B83" s="30" t="s">
        <v>1540</v>
      </c>
      <c r="C83" s="30"/>
      <c r="D83" s="30"/>
      <c r="E83" s="30"/>
      <c r="F83" s="30"/>
    </row>
    <row r="84" customFormat="false" ht="15" hidden="false" customHeight="true" outlineLevel="0" collapsed="false">
      <c r="A84" s="29" t="s">
        <v>638</v>
      </c>
      <c r="B84" s="30" t="s">
        <v>773</v>
      </c>
      <c r="C84" s="30"/>
      <c r="D84" s="30"/>
      <c r="E84" s="30"/>
      <c r="F84" s="30"/>
    </row>
    <row r="85" customFormat="false" ht="15" hidden="false" customHeight="true" outlineLevel="0" collapsed="false">
      <c r="A85" s="29" t="s">
        <v>639</v>
      </c>
      <c r="B85" s="30" t="s">
        <v>809</v>
      </c>
      <c r="C85" s="30"/>
      <c r="D85" s="30"/>
      <c r="E85" s="30"/>
      <c r="F85" s="30"/>
    </row>
    <row r="86" customFormat="false" ht="15" hidden="false" customHeight="true" outlineLevel="0" collapsed="false">
      <c r="A86" s="29" t="s">
        <v>640</v>
      </c>
      <c r="B86" s="30" t="s">
        <v>1551</v>
      </c>
      <c r="C86" s="30"/>
      <c r="D86" s="30"/>
      <c r="E86" s="30"/>
      <c r="F86" s="30"/>
    </row>
    <row r="87" customFormat="false" ht="15" hidden="false" customHeight="true" outlineLevel="0" collapsed="false">
      <c r="A87" s="29" t="s">
        <v>641</v>
      </c>
      <c r="B87" s="30" t="s">
        <v>1552</v>
      </c>
      <c r="C87" s="30"/>
      <c r="D87" s="30"/>
      <c r="E87" s="30"/>
      <c r="F87" s="30"/>
    </row>
    <row r="88" customFormat="false" ht="15" hidden="false" customHeight="true" outlineLevel="0" collapsed="false">
      <c r="A88" s="29" t="s">
        <v>642</v>
      </c>
      <c r="B88" s="30" t="s">
        <v>773</v>
      </c>
      <c r="C88" s="30"/>
      <c r="D88" s="30"/>
      <c r="E88" s="30"/>
      <c r="F88" s="30"/>
    </row>
    <row r="89" customFormat="false" ht="15" hidden="false" customHeight="true" outlineLevel="0" collapsed="false">
      <c r="A89" s="27"/>
      <c r="B89" s="27"/>
      <c r="C89" s="27"/>
      <c r="D89" s="27"/>
      <c r="E89" s="27"/>
      <c r="F89" s="27"/>
    </row>
    <row r="90" customFormat="false" ht="15" hidden="false" customHeight="true" outlineLevel="0" collapsed="false">
      <c r="A90" s="28" t="s">
        <v>2225</v>
      </c>
      <c r="B90" s="28"/>
      <c r="C90" s="28"/>
      <c r="D90" s="28"/>
      <c r="E90" s="28"/>
      <c r="F90" s="28"/>
    </row>
    <row r="91" customFormat="false" ht="15" hidden="false" customHeight="true" outlineLevel="0" collapsed="false">
      <c r="A91" s="29" t="s">
        <v>643</v>
      </c>
      <c r="B91" s="30" t="s">
        <v>1124</v>
      </c>
      <c r="C91" s="30"/>
      <c r="D91" s="30"/>
      <c r="E91" s="30"/>
      <c r="F91" s="30"/>
    </row>
    <row r="92" customFormat="false" ht="15" hidden="false" customHeight="true" outlineLevel="0" collapsed="false">
      <c r="A92" s="29" t="s">
        <v>644</v>
      </c>
      <c r="B92" s="30" t="s">
        <v>1125</v>
      </c>
      <c r="C92" s="30"/>
      <c r="D92" s="30"/>
      <c r="E92" s="30"/>
      <c r="F92" s="30"/>
    </row>
    <row r="93" customFormat="false" ht="15" hidden="false" customHeight="true" outlineLevel="0" collapsed="false">
      <c r="A93" s="29" t="s">
        <v>645</v>
      </c>
      <c r="B93" s="30" t="s">
        <v>1126</v>
      </c>
      <c r="C93" s="30"/>
      <c r="D93" s="30"/>
      <c r="E93" s="30"/>
      <c r="F93" s="30"/>
    </row>
    <row r="94" customFormat="false" ht="23.25" hidden="false" customHeight="true" outlineLevel="0" collapsed="false">
      <c r="A94" s="29" t="s">
        <v>646</v>
      </c>
      <c r="B94" s="30" t="s">
        <v>1127</v>
      </c>
      <c r="C94" s="30"/>
      <c r="D94" s="30"/>
      <c r="E94" s="30"/>
      <c r="F94" s="30"/>
    </row>
    <row r="95" customFormat="false" ht="23.25" hidden="false" customHeight="true" outlineLevel="0" collapsed="false">
      <c r="A95" s="29" t="s">
        <v>647</v>
      </c>
      <c r="B95" s="30" t="s">
        <v>1128</v>
      </c>
      <c r="C95" s="30"/>
      <c r="D95" s="30"/>
      <c r="E95" s="30"/>
      <c r="F95" s="30"/>
    </row>
    <row r="96" customFormat="false" ht="23.25" hidden="false" customHeight="true" outlineLevel="0" collapsed="false">
      <c r="A96" s="29" t="s">
        <v>648</v>
      </c>
      <c r="B96" s="30" t="s">
        <v>1129</v>
      </c>
      <c r="C96" s="30"/>
      <c r="D96" s="30"/>
      <c r="E96" s="30"/>
      <c r="F96" s="30"/>
    </row>
    <row r="97" customFormat="false" ht="15" hidden="false" customHeight="true" outlineLevel="0" collapsed="false">
      <c r="A97" s="29" t="s">
        <v>649</v>
      </c>
      <c r="B97" s="30" t="s">
        <v>1130</v>
      </c>
      <c r="C97" s="30"/>
      <c r="D97" s="30"/>
      <c r="E97" s="30"/>
      <c r="F97" s="30"/>
    </row>
    <row r="98" customFormat="false" ht="15" hidden="false" customHeight="true" outlineLevel="0" collapsed="false">
      <c r="A98" s="29" t="s">
        <v>650</v>
      </c>
      <c r="B98" s="30" t="s">
        <v>831</v>
      </c>
      <c r="C98" s="30"/>
      <c r="D98" s="30"/>
      <c r="E98" s="30"/>
      <c r="F98" s="30"/>
    </row>
    <row r="99" customFormat="false" ht="15" hidden="false" customHeight="true" outlineLevel="0" collapsed="false">
      <c r="A99" s="29" t="s">
        <v>651</v>
      </c>
      <c r="B99" s="30" t="s">
        <v>1131</v>
      </c>
      <c r="C99" s="30"/>
      <c r="D99" s="30"/>
      <c r="E99" s="30"/>
      <c r="F99" s="30"/>
    </row>
    <row r="100" customFormat="false" ht="15" hidden="false" customHeight="true" outlineLevel="0" collapsed="false">
      <c r="A100" s="29" t="s">
        <v>652</v>
      </c>
      <c r="B100" s="30" t="s">
        <v>1132</v>
      </c>
      <c r="C100" s="30"/>
      <c r="D100" s="30"/>
      <c r="E100" s="30"/>
      <c r="F100" s="30"/>
    </row>
    <row r="101" customFormat="false" ht="15" hidden="false" customHeight="true" outlineLevel="0" collapsed="false">
      <c r="A101" s="29" t="s">
        <v>653</v>
      </c>
      <c r="B101" s="30" t="s">
        <v>773</v>
      </c>
      <c r="C101" s="30"/>
      <c r="D101" s="30"/>
      <c r="E101" s="30"/>
      <c r="F101" s="30"/>
    </row>
    <row r="102" customFormat="false" ht="15" hidden="false" customHeight="true" outlineLevel="0" collapsed="false">
      <c r="A102" s="29" t="s">
        <v>654</v>
      </c>
      <c r="B102" s="30" t="s">
        <v>1133</v>
      </c>
      <c r="C102" s="30"/>
      <c r="D102" s="30"/>
      <c r="E102" s="30"/>
      <c r="F102" s="30"/>
    </row>
    <row r="103" customFormat="false" ht="23.25" hidden="false" customHeight="true" outlineLevel="0" collapsed="false">
      <c r="A103" s="29" t="s">
        <v>655</v>
      </c>
      <c r="B103" s="30" t="s">
        <v>1134</v>
      </c>
      <c r="C103" s="30"/>
      <c r="D103" s="30"/>
      <c r="E103" s="30"/>
      <c r="F103" s="30"/>
    </row>
    <row r="104" customFormat="false" ht="15" hidden="false" customHeight="true" outlineLevel="0" collapsed="false">
      <c r="A104" s="29" t="s">
        <v>656</v>
      </c>
      <c r="B104" s="30" t="s">
        <v>1135</v>
      </c>
      <c r="C104" s="30"/>
      <c r="D104" s="30"/>
      <c r="E104" s="30"/>
      <c r="F104" s="30"/>
    </row>
    <row r="105" customFormat="false" ht="15" hidden="false" customHeight="true" outlineLevel="0" collapsed="false">
      <c r="A105" s="27"/>
      <c r="B105" s="27"/>
      <c r="C105" s="27"/>
      <c r="D105" s="27"/>
      <c r="E105" s="27"/>
      <c r="F105" s="27"/>
    </row>
    <row r="106" customFormat="false" ht="15" hidden="false" customHeight="true" outlineLevel="0" collapsed="false">
      <c r="A106" s="28" t="s">
        <v>614</v>
      </c>
      <c r="B106" s="28"/>
      <c r="C106" s="28"/>
      <c r="D106" s="28"/>
      <c r="E106" s="28"/>
      <c r="F106" s="28"/>
    </row>
    <row r="107" customFormat="false" ht="23.25" hidden="false" customHeight="true" outlineLevel="0" collapsed="false">
      <c r="A107" s="29" t="s">
        <v>657</v>
      </c>
      <c r="B107" s="30" t="s">
        <v>1136</v>
      </c>
      <c r="C107" s="30"/>
      <c r="D107" s="30"/>
      <c r="E107" s="30"/>
      <c r="F107" s="30"/>
    </row>
    <row r="108" customFormat="false" ht="15" hidden="false" customHeight="true" outlineLevel="0" collapsed="false">
      <c r="A108" s="29" t="s">
        <v>658</v>
      </c>
      <c r="B108" s="30" t="s">
        <v>1137</v>
      </c>
      <c r="C108" s="30"/>
      <c r="D108" s="30"/>
      <c r="E108" s="30"/>
      <c r="F108" s="30"/>
    </row>
    <row r="109" customFormat="false" ht="23.25" hidden="false" customHeight="true" outlineLevel="0" collapsed="false">
      <c r="A109" s="29" t="s">
        <v>659</v>
      </c>
      <c r="B109" s="30" t="s">
        <v>1138</v>
      </c>
      <c r="C109" s="30"/>
      <c r="D109" s="30"/>
      <c r="E109" s="30"/>
      <c r="F109" s="30"/>
    </row>
    <row r="110" customFormat="false" ht="15" hidden="false" customHeight="true" outlineLevel="0" collapsed="false">
      <c r="A110" s="27"/>
      <c r="B110" s="27"/>
      <c r="C110" s="27"/>
      <c r="D110" s="27"/>
      <c r="E110" s="27"/>
      <c r="F110" s="27"/>
    </row>
    <row r="111" customFormat="false" ht="15" hidden="false" customHeight="true" outlineLevel="0" collapsed="false">
      <c r="A111" s="28" t="s">
        <v>2226</v>
      </c>
      <c r="B111" s="28"/>
      <c r="C111" s="28"/>
      <c r="D111" s="28"/>
      <c r="E111" s="28"/>
      <c r="F111" s="28"/>
    </row>
    <row r="112" customFormat="false" ht="15" hidden="false" customHeight="true" outlineLevel="0" collapsed="false">
      <c r="A112" s="29" t="s">
        <v>2227</v>
      </c>
      <c r="B112" s="30" t="s">
        <v>2228</v>
      </c>
      <c r="C112" s="30"/>
      <c r="D112" s="30"/>
      <c r="E112" s="30"/>
      <c r="F112" s="30"/>
    </row>
    <row r="113" customFormat="false" ht="15" hidden="false" customHeight="true" outlineLevel="0" collapsed="false">
      <c r="A113" s="29" t="s">
        <v>2229</v>
      </c>
      <c r="B113" s="30" t="s">
        <v>2308</v>
      </c>
      <c r="C113" s="30"/>
      <c r="D113" s="30"/>
      <c r="E113" s="30"/>
      <c r="F113" s="30"/>
    </row>
    <row r="114" customFormat="false" ht="15" hidden="false" customHeight="true" outlineLevel="0" collapsed="false">
      <c r="A114" s="29" t="s">
        <v>2230</v>
      </c>
      <c r="B114" s="30" t="s">
        <v>2231</v>
      </c>
      <c r="C114" s="30"/>
      <c r="D114" s="30"/>
      <c r="E114" s="30"/>
      <c r="F114" s="30"/>
    </row>
    <row r="115" customFormat="false" ht="15" hidden="false" customHeight="true" outlineLevel="0" collapsed="false">
      <c r="A115" s="27"/>
      <c r="B115" s="27"/>
      <c r="C115" s="27"/>
      <c r="D115" s="27"/>
      <c r="E115" s="27"/>
      <c r="F115" s="27"/>
    </row>
    <row r="116" customFormat="false" ht="15" hidden="false" customHeight="true" outlineLevel="0" collapsed="false">
      <c r="A116" s="4" t="s">
        <v>2232</v>
      </c>
      <c r="B116" s="27"/>
      <c r="C116" s="27"/>
      <c r="D116" s="27"/>
      <c r="E116" s="27"/>
      <c r="F116" s="27"/>
    </row>
    <row r="117" customFormat="false" ht="15" hidden="false" customHeight="true" outlineLevel="0" collapsed="false">
      <c r="A117" s="29" t="s">
        <v>2233</v>
      </c>
      <c r="B117" s="29" t="s">
        <v>2234</v>
      </c>
      <c r="C117" s="27"/>
      <c r="D117" s="27"/>
      <c r="E117" s="27"/>
      <c r="F117" s="27"/>
    </row>
    <row r="118" customFormat="false" ht="15" hidden="false" customHeight="true" outlineLevel="0" collapsed="false">
      <c r="A118" s="3" t="s">
        <v>1355</v>
      </c>
      <c r="B118" s="3" t="s">
        <v>1449</v>
      </c>
      <c r="C118" s="27"/>
      <c r="D118" s="27"/>
      <c r="E118" s="27"/>
      <c r="F118" s="27"/>
    </row>
    <row r="119" customFormat="false" ht="15" hidden="false" customHeight="true" outlineLevel="0" collapsed="false">
      <c r="A119" s="3" t="s">
        <v>1356</v>
      </c>
      <c r="B119" s="3" t="s">
        <v>60</v>
      </c>
      <c r="C119" s="27"/>
      <c r="D119" s="27"/>
      <c r="E119" s="27"/>
      <c r="F119" s="27"/>
    </row>
    <row r="120" customFormat="false" ht="34.5" hidden="false" customHeight="true" outlineLevel="0" collapsed="false">
      <c r="A120" s="3" t="s">
        <v>1357</v>
      </c>
      <c r="B120" s="3" t="s">
        <v>1450</v>
      </c>
      <c r="C120" s="27"/>
      <c r="D120" s="27"/>
      <c r="E120" s="27"/>
      <c r="F120" s="27"/>
    </row>
    <row r="121" customFormat="false" ht="15" hidden="false" customHeight="true" outlineLevel="0" collapsed="false">
      <c r="A121" s="3" t="s">
        <v>1358</v>
      </c>
      <c r="B121" s="3" t="s">
        <v>1451</v>
      </c>
      <c r="C121" s="27"/>
      <c r="D121" s="27"/>
      <c r="E121" s="27"/>
      <c r="F121" s="27"/>
    </row>
    <row r="122" customFormat="false" ht="15" hidden="false" customHeight="true" outlineLevel="0" collapsed="false">
      <c r="A122" s="3" t="s">
        <v>1359</v>
      </c>
      <c r="B122" s="3" t="s">
        <v>1452</v>
      </c>
      <c r="C122" s="27"/>
      <c r="D122" s="27"/>
      <c r="E122" s="27"/>
      <c r="F122" s="27"/>
    </row>
    <row r="123" customFormat="false" ht="90.75" hidden="false" customHeight="true" outlineLevel="0" collapsed="false">
      <c r="A123" s="3" t="s">
        <v>1360</v>
      </c>
      <c r="B123" s="3" t="s">
        <v>1453</v>
      </c>
      <c r="C123" s="27"/>
      <c r="D123" s="27"/>
      <c r="E123" s="27"/>
      <c r="F123" s="27"/>
    </row>
    <row r="124" customFormat="false" ht="57" hidden="false" customHeight="true" outlineLevel="0" collapsed="false">
      <c r="A124" s="3" t="s">
        <v>1361</v>
      </c>
      <c r="B124" s="3" t="s">
        <v>1454</v>
      </c>
      <c r="C124" s="27"/>
      <c r="D124" s="27"/>
      <c r="E124" s="27"/>
      <c r="F124" s="27"/>
    </row>
    <row r="125" customFormat="false" ht="57" hidden="false" customHeight="true" outlineLevel="0" collapsed="false">
      <c r="A125" s="3" t="s">
        <v>1362</v>
      </c>
      <c r="B125" s="3" t="s">
        <v>1455</v>
      </c>
      <c r="C125" s="27"/>
      <c r="D125" s="27"/>
      <c r="E125" s="27"/>
      <c r="F125" s="27"/>
    </row>
    <row r="126" customFormat="false" ht="15" hidden="false" customHeight="true" outlineLevel="0" collapsed="false">
      <c r="A126" s="27"/>
      <c r="B126" s="27"/>
      <c r="C126" s="27"/>
      <c r="D126" s="27"/>
      <c r="E126" s="27"/>
      <c r="F126" s="27"/>
    </row>
    <row r="127" customFormat="false" ht="15" hidden="false" customHeight="true" outlineLevel="0" collapsed="false">
      <c r="A127" s="4" t="s">
        <v>2236</v>
      </c>
      <c r="B127" s="27"/>
      <c r="C127" s="27"/>
      <c r="D127" s="27"/>
      <c r="E127" s="27"/>
      <c r="F127" s="27"/>
    </row>
    <row r="128" customFormat="false" ht="15" hidden="false" customHeight="true" outlineLevel="0" collapsed="false">
      <c r="A128" s="29" t="s">
        <v>2237</v>
      </c>
      <c r="B128" s="30" t="s">
        <v>1140</v>
      </c>
      <c r="C128" s="30"/>
      <c r="D128" s="30"/>
      <c r="E128" s="30"/>
      <c r="F128" s="30"/>
    </row>
    <row r="129" customFormat="false" ht="15" hidden="false" customHeight="true" outlineLevel="0" collapsed="false">
      <c r="A129" s="29" t="s">
        <v>2238</v>
      </c>
      <c r="B129" s="30" t="s">
        <v>1141</v>
      </c>
      <c r="C129" s="30"/>
      <c r="D129" s="30"/>
      <c r="E129" s="30"/>
      <c r="F129" s="30"/>
    </row>
    <row r="130" customFormat="false" ht="15" hidden="false" customHeight="true" outlineLevel="0" collapsed="false">
      <c r="A130" s="29" t="s">
        <v>1359</v>
      </c>
      <c r="B130" s="30" t="s">
        <v>1142</v>
      </c>
      <c r="C130" s="30"/>
      <c r="D130" s="30"/>
      <c r="E130" s="30"/>
      <c r="F130" s="30"/>
    </row>
    <row r="131" customFormat="false" ht="23.25" hidden="false" customHeight="true" outlineLevel="0" collapsed="false">
      <c r="A131" s="29" t="s">
        <v>2239</v>
      </c>
      <c r="B131" s="30" t="s">
        <v>1143</v>
      </c>
      <c r="C131" s="30"/>
      <c r="D131" s="30"/>
      <c r="E131" s="30"/>
      <c r="F131" s="30"/>
    </row>
    <row r="132" customFormat="false" ht="15" hidden="false" customHeight="true" outlineLevel="0" collapsed="false">
      <c r="A132" s="27"/>
      <c r="B132" s="27"/>
      <c r="C132" s="27"/>
      <c r="D132" s="27"/>
      <c r="E132" s="27"/>
      <c r="F132" s="27"/>
    </row>
    <row r="133" customFormat="false" ht="15" hidden="false" customHeight="true" outlineLevel="0" collapsed="false">
      <c r="A133" s="28" t="s">
        <v>2240</v>
      </c>
      <c r="B133" s="28"/>
      <c r="C133" s="28"/>
      <c r="D133" s="28"/>
      <c r="E133" s="28"/>
      <c r="F133" s="28"/>
    </row>
    <row r="134" customFormat="false" ht="68.25" hidden="false" customHeight="true" outlineLevel="0" collapsed="false">
      <c r="A134" s="29" t="s">
        <v>669</v>
      </c>
      <c r="B134" s="30" t="s">
        <v>1144</v>
      </c>
      <c r="C134" s="30"/>
      <c r="D134" s="30"/>
      <c r="E134" s="30"/>
      <c r="F134" s="30"/>
    </row>
    <row r="135" customFormat="false" ht="68.25" hidden="false" customHeight="true" outlineLevel="0" collapsed="false">
      <c r="A135" s="29" t="s">
        <v>670</v>
      </c>
      <c r="B135" s="30" t="s">
        <v>1145</v>
      </c>
      <c r="C135" s="30"/>
      <c r="D135" s="30"/>
      <c r="E135" s="30"/>
      <c r="F135" s="30"/>
    </row>
    <row r="136" customFormat="false" ht="79.5" hidden="false" customHeight="true" outlineLevel="0" collapsed="false">
      <c r="A136" s="29" t="s">
        <v>671</v>
      </c>
      <c r="B136" s="30" t="s">
        <v>1146</v>
      </c>
      <c r="C136" s="30"/>
      <c r="D136" s="30"/>
      <c r="E136" s="30"/>
      <c r="F136" s="30"/>
    </row>
    <row r="137" customFormat="false" ht="15" hidden="false" customHeight="true" outlineLevel="0" collapsed="false">
      <c r="A137" s="27"/>
      <c r="B137" s="27"/>
      <c r="C137" s="27"/>
      <c r="D137" s="27"/>
      <c r="E137" s="27"/>
      <c r="F137" s="27"/>
    </row>
    <row r="138" customFormat="false" ht="15" hidden="false" customHeight="true" outlineLevel="0" collapsed="false">
      <c r="A138" s="28" t="s">
        <v>2241</v>
      </c>
      <c r="B138" s="28"/>
      <c r="C138" s="28"/>
      <c r="D138" s="28"/>
      <c r="E138" s="28"/>
      <c r="F138" s="28"/>
    </row>
    <row r="139" customFormat="false" ht="15" hidden="false" customHeight="true" outlineLevel="0" collapsed="false">
      <c r="A139" s="29" t="s">
        <v>2242</v>
      </c>
      <c r="B139" s="29" t="s">
        <v>2243</v>
      </c>
      <c r="C139" s="29" t="s">
        <v>2244</v>
      </c>
      <c r="D139" s="27"/>
      <c r="E139" s="27"/>
      <c r="F139" s="27"/>
    </row>
    <row r="140" customFormat="false" ht="15" hidden="false" customHeight="true" outlineLevel="0" collapsed="false">
      <c r="A140" s="3" t="s">
        <v>2245</v>
      </c>
      <c r="B140" s="3" t="s">
        <v>809</v>
      </c>
      <c r="C140" s="3" t="s">
        <v>2250</v>
      </c>
      <c r="D140" s="27"/>
      <c r="E140" s="27"/>
      <c r="F140" s="27"/>
    </row>
    <row r="141" customFormat="false" ht="23.25" hidden="false" customHeight="true" outlineLevel="0" collapsed="false">
      <c r="A141" s="3" t="s">
        <v>2289</v>
      </c>
      <c r="B141" s="3" t="s">
        <v>809</v>
      </c>
      <c r="C141" s="3" t="s">
        <v>2250</v>
      </c>
      <c r="D141" s="27"/>
      <c r="E141" s="27"/>
      <c r="F141" s="27"/>
    </row>
    <row r="142" customFormat="false" ht="23.25" hidden="false" customHeight="true" outlineLevel="0" collapsed="false">
      <c r="A142" s="3" t="s">
        <v>2248</v>
      </c>
      <c r="B142" s="3" t="s">
        <v>809</v>
      </c>
      <c r="C142" s="3" t="s">
        <v>2250</v>
      </c>
      <c r="D142" s="27"/>
      <c r="E142" s="27"/>
      <c r="F142" s="27"/>
    </row>
    <row r="143" customFormat="false" ht="15" hidden="false" customHeight="true" outlineLevel="0" collapsed="false">
      <c r="A143" s="3" t="s">
        <v>2249</v>
      </c>
      <c r="B143" s="3" t="s">
        <v>809</v>
      </c>
      <c r="C143" s="3" t="s">
        <v>2250</v>
      </c>
      <c r="D143" s="27"/>
      <c r="E143" s="27"/>
      <c r="F143" s="27"/>
    </row>
    <row r="144" customFormat="false" ht="23.25" hidden="false" customHeight="true" outlineLevel="0" collapsed="false">
      <c r="A144" s="3" t="s">
        <v>2251</v>
      </c>
      <c r="B144" s="3" t="s">
        <v>1147</v>
      </c>
      <c r="C144" s="3" t="s">
        <v>2246</v>
      </c>
      <c r="D144" s="27"/>
      <c r="E144" s="27"/>
      <c r="F144" s="27"/>
    </row>
    <row r="145" customFormat="false" ht="23.25" hidden="false" customHeight="true" outlineLevel="0" collapsed="false">
      <c r="A145" s="3" t="s">
        <v>2252</v>
      </c>
      <c r="B145" s="3" t="s">
        <v>1148</v>
      </c>
      <c r="C145" s="3" t="s">
        <v>2250</v>
      </c>
      <c r="D145" s="27"/>
      <c r="E145" s="27"/>
      <c r="F145" s="27"/>
    </row>
    <row r="146" customFormat="false" ht="45.75" hidden="false" customHeight="true" outlineLevel="0" collapsed="false">
      <c r="A146" s="3" t="s">
        <v>2253</v>
      </c>
      <c r="B146" s="3" t="s">
        <v>1149</v>
      </c>
      <c r="C146" s="3" t="s">
        <v>2246</v>
      </c>
      <c r="D146" s="27"/>
      <c r="E146" s="27"/>
      <c r="F146" s="27"/>
    </row>
    <row r="147" customFormat="false" ht="15" hidden="false" customHeight="true" outlineLevel="0" collapsed="false">
      <c r="A147" s="3" t="s">
        <v>2254</v>
      </c>
      <c r="B147" s="3" t="s">
        <v>809</v>
      </c>
      <c r="C147" s="3" t="s">
        <v>2250</v>
      </c>
      <c r="D147" s="27"/>
      <c r="E147" s="27"/>
      <c r="F147" s="27"/>
    </row>
    <row r="148" customFormat="false" ht="34.5" hidden="false" customHeight="true" outlineLevel="0" collapsed="false">
      <c r="A148" s="3" t="s">
        <v>2255</v>
      </c>
      <c r="B148" s="3" t="s">
        <v>1150</v>
      </c>
      <c r="C148" s="3" t="s">
        <v>2246</v>
      </c>
      <c r="D148" s="27"/>
      <c r="E148" s="27"/>
      <c r="F148" s="27"/>
    </row>
    <row r="149" customFormat="false" ht="34.5" hidden="false" customHeight="true" outlineLevel="0" collapsed="false">
      <c r="A149" s="3" t="s">
        <v>2256</v>
      </c>
      <c r="B149" s="3" t="s">
        <v>1151</v>
      </c>
      <c r="C149" s="3" t="s">
        <v>2246</v>
      </c>
      <c r="D149" s="27"/>
      <c r="E149" s="27"/>
      <c r="F149" s="27"/>
    </row>
    <row r="150" customFormat="false" ht="34.5" hidden="false" customHeight="true" outlineLevel="0" collapsed="false">
      <c r="A150" s="3" t="s">
        <v>2257</v>
      </c>
      <c r="B150" s="3" t="s">
        <v>1152</v>
      </c>
      <c r="C150" s="3" t="s">
        <v>2246</v>
      </c>
      <c r="D150" s="27"/>
      <c r="E150" s="27"/>
      <c r="F150" s="27"/>
    </row>
    <row r="151" customFormat="false" ht="15" hidden="false" customHeight="true" outlineLevel="0" collapsed="false">
      <c r="A151" s="3" t="s">
        <v>2258</v>
      </c>
      <c r="B151" s="3" t="s">
        <v>809</v>
      </c>
      <c r="C151" s="3" t="s">
        <v>2250</v>
      </c>
      <c r="D151" s="27"/>
      <c r="E151" s="27"/>
      <c r="F151" s="27"/>
    </row>
    <row r="152" customFormat="false" ht="15" hidden="false" customHeight="true" outlineLevel="0" collapsed="false">
      <c r="A152" s="3" t="s">
        <v>2259</v>
      </c>
      <c r="B152" s="3" t="s">
        <v>809</v>
      </c>
      <c r="C152" s="3" t="s">
        <v>2250</v>
      </c>
      <c r="D152" s="27"/>
      <c r="E152" s="27"/>
      <c r="F152" s="27"/>
    </row>
    <row r="153" customFormat="false" ht="23.25" hidden="false" customHeight="true" outlineLevel="0" collapsed="false">
      <c r="A153" s="3" t="s">
        <v>2260</v>
      </c>
      <c r="B153" s="3" t="s">
        <v>1153</v>
      </c>
      <c r="C153" s="3" t="s">
        <v>2250</v>
      </c>
      <c r="D153" s="27"/>
      <c r="E153" s="27"/>
      <c r="F153" s="27"/>
    </row>
    <row r="154" customFormat="false" ht="34.5" hidden="false" customHeight="true" outlineLevel="0" collapsed="false">
      <c r="A154" s="3" t="s">
        <v>2261</v>
      </c>
      <c r="B154" s="3" t="s">
        <v>1154</v>
      </c>
      <c r="C154" s="3" t="s">
        <v>2250</v>
      </c>
      <c r="D154" s="27"/>
      <c r="E154" s="27"/>
      <c r="F154" s="27"/>
    </row>
    <row r="155" customFormat="false" ht="15" hidden="false" customHeight="true" outlineLevel="0" collapsed="false">
      <c r="A155" s="3" t="s">
        <v>2262</v>
      </c>
      <c r="B155" s="3" t="s">
        <v>809</v>
      </c>
      <c r="C155" s="3" t="s">
        <v>2250</v>
      </c>
      <c r="D155" s="27"/>
      <c r="E155" s="27"/>
      <c r="F155" s="27"/>
    </row>
    <row r="156" customFormat="false" ht="45.75" hidden="false" customHeight="true" outlineLevel="0" collapsed="false">
      <c r="A156" s="26" t="s">
        <v>1155</v>
      </c>
      <c r="B156" s="27"/>
      <c r="C156" s="27"/>
      <c r="D156" s="27"/>
      <c r="E156" s="27"/>
      <c r="F156" s="27"/>
    </row>
    <row r="157" customFormat="false" ht="15" hidden="false" customHeight="true" outlineLevel="0" collapsed="false">
      <c r="A157" s="27"/>
      <c r="B157" s="27"/>
      <c r="C157" s="27"/>
      <c r="D157" s="27"/>
      <c r="E157" s="27"/>
      <c r="F157" s="27"/>
    </row>
    <row r="158" customFormat="false" ht="15" hidden="false" customHeight="true" outlineLevel="0" collapsed="false">
      <c r="A158" s="28" t="s">
        <v>2263</v>
      </c>
      <c r="B158" s="28"/>
      <c r="C158" s="28"/>
      <c r="D158" s="28"/>
      <c r="E158" s="28"/>
      <c r="F158" s="28"/>
    </row>
    <row r="159" customFormat="false" ht="15" hidden="false" customHeight="true" outlineLevel="0" collapsed="false">
      <c r="A159" s="29" t="s">
        <v>2264</v>
      </c>
      <c r="B159" s="29" t="s">
        <v>2265</v>
      </c>
      <c r="C159" s="29" t="s">
        <v>2244</v>
      </c>
      <c r="D159" s="27"/>
      <c r="E159" s="27"/>
      <c r="F159" s="27"/>
    </row>
    <row r="160" customFormat="false" ht="23.25" hidden="false" customHeight="true" outlineLevel="0" collapsed="false">
      <c r="A160" s="3" t="s">
        <v>2266</v>
      </c>
      <c r="B160" s="3" t="s">
        <v>1156</v>
      </c>
      <c r="C160" s="3" t="s">
        <v>2250</v>
      </c>
      <c r="D160" s="27"/>
      <c r="E160" s="27"/>
      <c r="F160" s="27"/>
    </row>
    <row r="161" customFormat="false" ht="15" hidden="false" customHeight="true" outlineLevel="0" collapsed="false">
      <c r="A161" s="3" t="s">
        <v>2267</v>
      </c>
      <c r="B161" s="3" t="s">
        <v>809</v>
      </c>
      <c r="C161" s="3" t="s">
        <v>2250</v>
      </c>
      <c r="D161" s="27"/>
      <c r="E161" s="27"/>
      <c r="F161" s="27"/>
    </row>
    <row r="162" customFormat="false" ht="15" hidden="false" customHeight="true" outlineLevel="0" collapsed="false">
      <c r="A162" s="3" t="s">
        <v>2268</v>
      </c>
      <c r="B162" s="3" t="s">
        <v>809</v>
      </c>
      <c r="C162" s="3" t="s">
        <v>2250</v>
      </c>
      <c r="D162" s="27"/>
      <c r="E162" s="27"/>
      <c r="F162" s="27"/>
    </row>
    <row r="163" customFormat="false" ht="15" hidden="false" customHeight="true" outlineLevel="0" collapsed="false">
      <c r="A163" s="3" t="s">
        <v>2269</v>
      </c>
      <c r="B163" s="3" t="s">
        <v>809</v>
      </c>
      <c r="C163" s="3" t="s">
        <v>2250</v>
      </c>
      <c r="D163" s="27"/>
      <c r="E163" s="27"/>
      <c r="F163" s="27"/>
    </row>
    <row r="164" customFormat="false" ht="34.5" hidden="false" customHeight="true" outlineLevel="0" collapsed="false">
      <c r="A164" s="3" t="s">
        <v>2270</v>
      </c>
      <c r="B164" s="3" t="s">
        <v>1157</v>
      </c>
      <c r="C164" s="3" t="s">
        <v>2250</v>
      </c>
      <c r="D164" s="27"/>
      <c r="E164" s="27"/>
      <c r="F164" s="27"/>
    </row>
    <row r="165" customFormat="false" ht="15" hidden="false" customHeight="true" outlineLevel="0" collapsed="false">
      <c r="A165" s="3" t="s">
        <v>2271</v>
      </c>
      <c r="B165" s="3" t="s">
        <v>809</v>
      </c>
      <c r="C165" s="3" t="s">
        <v>2250</v>
      </c>
      <c r="D165" s="27"/>
      <c r="E165" s="27"/>
      <c r="F165" s="27"/>
    </row>
    <row r="166" customFormat="false" ht="23.25" hidden="false" customHeight="true" outlineLevel="0" collapsed="false">
      <c r="A166" s="3" t="s">
        <v>2272</v>
      </c>
      <c r="B166" s="3" t="s">
        <v>809</v>
      </c>
      <c r="C166" s="3" t="s">
        <v>2250</v>
      </c>
      <c r="D166" s="27"/>
      <c r="E166" s="27"/>
      <c r="F166" s="27"/>
    </row>
    <row r="167" customFormat="false" ht="15" hidden="false" customHeight="true" outlineLevel="0" collapsed="false">
      <c r="A167" s="3" t="s">
        <v>2273</v>
      </c>
      <c r="B167" s="3" t="s">
        <v>1158</v>
      </c>
      <c r="C167" s="3" t="s">
        <v>2250</v>
      </c>
      <c r="D167" s="27"/>
      <c r="E167" s="27"/>
      <c r="F167" s="27"/>
    </row>
    <row r="168" customFormat="false" ht="15" hidden="false" customHeight="true" outlineLevel="0" collapsed="false">
      <c r="A168" s="3" t="s">
        <v>2274</v>
      </c>
      <c r="B168" s="3" t="s">
        <v>809</v>
      </c>
      <c r="C168" s="3" t="s">
        <v>2250</v>
      </c>
      <c r="D168" s="27"/>
      <c r="E168" s="27"/>
      <c r="F168" s="27"/>
    </row>
    <row r="169" customFormat="false" ht="34.5" hidden="false" customHeight="true" outlineLevel="0" collapsed="false">
      <c r="A169" s="3" t="s">
        <v>2275</v>
      </c>
      <c r="B169" s="3" t="s">
        <v>1159</v>
      </c>
      <c r="C169" s="3" t="s">
        <v>2246</v>
      </c>
      <c r="D169" s="27"/>
      <c r="E169" s="27"/>
      <c r="F169" s="27"/>
    </row>
    <row r="170" customFormat="false" ht="15" hidden="false" customHeight="true" outlineLevel="0" collapsed="false">
      <c r="A170" s="27"/>
      <c r="B170" s="27"/>
      <c r="C170" s="27"/>
      <c r="D170" s="27"/>
      <c r="E170" s="27"/>
      <c r="F170" s="27"/>
    </row>
    <row r="171" customFormat="false" ht="15" hidden="false" customHeight="true" outlineLevel="0" collapsed="false">
      <c r="A171" s="28" t="s">
        <v>2276</v>
      </c>
      <c r="B171" s="28"/>
      <c r="C171" s="28"/>
      <c r="D171" s="28"/>
      <c r="E171" s="28"/>
      <c r="F171" s="28"/>
    </row>
    <row r="172" customFormat="false" ht="15" hidden="false" customHeight="true" outlineLevel="0" collapsed="false">
      <c r="A172" s="29" t="s">
        <v>2277</v>
      </c>
      <c r="B172" s="29" t="s">
        <v>2278</v>
      </c>
      <c r="C172" s="29" t="s">
        <v>24</v>
      </c>
      <c r="D172" s="27"/>
      <c r="E172" s="27"/>
      <c r="F172" s="27"/>
    </row>
    <row r="173" customFormat="false" ht="15" hidden="false" customHeight="true" outlineLevel="0" collapsed="false">
      <c r="A173" s="3" t="s">
        <v>2279</v>
      </c>
      <c r="B173" s="3" t="s">
        <v>1160</v>
      </c>
      <c r="C173" s="3" t="s">
        <v>797</v>
      </c>
      <c r="D173" s="27"/>
      <c r="E173" s="27"/>
      <c r="F173" s="27"/>
    </row>
    <row r="174" customFormat="false" ht="23.25" hidden="false" customHeight="true" outlineLevel="0" collapsed="false">
      <c r="A174" s="3" t="s">
        <v>2280</v>
      </c>
      <c r="B174" s="3" t="s">
        <v>1161</v>
      </c>
      <c r="C174" s="3" t="s">
        <v>797</v>
      </c>
      <c r="D174" s="27"/>
      <c r="E174" s="27"/>
      <c r="F174" s="27"/>
    </row>
    <row r="175" customFormat="false" ht="23.25" hidden="false" customHeight="true" outlineLevel="0" collapsed="false">
      <c r="A175" s="3" t="s">
        <v>2281</v>
      </c>
      <c r="B175" s="3" t="s">
        <v>1162</v>
      </c>
      <c r="C175" s="3" t="s">
        <v>797</v>
      </c>
      <c r="D175" s="27"/>
      <c r="E175" s="27"/>
      <c r="F175" s="27"/>
    </row>
    <row r="176" customFormat="false" ht="15" hidden="false" customHeight="true" outlineLevel="0" collapsed="false">
      <c r="A176" s="3" t="s">
        <v>2227</v>
      </c>
      <c r="B176" s="3" t="s">
        <v>1163</v>
      </c>
      <c r="C176" s="3" t="s">
        <v>801</v>
      </c>
      <c r="D176" s="27"/>
      <c r="E176" s="27"/>
      <c r="F176" s="27"/>
    </row>
    <row r="177" customFormat="false" ht="34.5" hidden="false" customHeight="true" outlineLevel="0" collapsed="false">
      <c r="A177" s="3" t="s">
        <v>2229</v>
      </c>
      <c r="B177" s="3" t="s">
        <v>1164</v>
      </c>
      <c r="C177" s="3" t="s">
        <v>804</v>
      </c>
      <c r="D177" s="27"/>
      <c r="E177" s="27"/>
      <c r="F177" s="27"/>
    </row>
    <row r="178" customFormat="false" ht="15" hidden="false" customHeight="true" outlineLevel="0" collapsed="false">
      <c r="A178" s="3" t="s">
        <v>2230</v>
      </c>
      <c r="B178" s="3" t="s">
        <v>809</v>
      </c>
      <c r="C178" s="3" t="s">
        <v>804</v>
      </c>
      <c r="D178" s="27"/>
      <c r="E178" s="27"/>
      <c r="F178" s="27"/>
    </row>
    <row r="179" customFormat="false" ht="23.25" hidden="false" customHeight="true" outlineLevel="0" collapsed="false">
      <c r="A179" s="3" t="s">
        <v>2282</v>
      </c>
      <c r="B179" s="3" t="s">
        <v>1165</v>
      </c>
      <c r="C179" s="3" t="s">
        <v>797</v>
      </c>
      <c r="D179" s="27"/>
      <c r="E179" s="27"/>
      <c r="F179" s="27"/>
    </row>
    <row r="180" customFormat="false" ht="15" hidden="false" customHeight="true" outlineLevel="0" collapsed="false">
      <c r="A180" s="3" t="s">
        <v>2283</v>
      </c>
      <c r="B180" s="3" t="s">
        <v>866</v>
      </c>
      <c r="C180" s="3" t="s">
        <v>746</v>
      </c>
      <c r="D180" s="27"/>
      <c r="E180" s="27"/>
      <c r="F180" s="27"/>
    </row>
    <row r="181" customFormat="false" ht="15" hidden="false" customHeight="true" outlineLevel="0" collapsed="false">
      <c r="A181" s="3" t="s">
        <v>2284</v>
      </c>
      <c r="B181" s="3" t="s">
        <v>809</v>
      </c>
      <c r="C181" s="3" t="s">
        <v>867</v>
      </c>
      <c r="D181" s="27"/>
      <c r="E181" s="27"/>
      <c r="F181" s="27"/>
    </row>
    <row r="182" customFormat="false" ht="15" hidden="false" customHeight="true" outlineLevel="0" collapsed="false">
      <c r="A182" s="27"/>
      <c r="B182" s="27"/>
      <c r="C182" s="27"/>
      <c r="D182" s="27"/>
      <c r="E182" s="27"/>
      <c r="F182" s="27"/>
    </row>
    <row r="183" customFormat="false" ht="15" hidden="false" customHeight="true" outlineLevel="0" collapsed="false">
      <c r="A183" s="28" t="s">
        <v>2285</v>
      </c>
      <c r="B183" s="28"/>
      <c r="C183" s="28"/>
      <c r="D183" s="28"/>
      <c r="E183" s="28"/>
      <c r="F183" s="28"/>
    </row>
    <row r="184" customFormat="false" ht="15" hidden="false" customHeight="true" outlineLevel="0" collapsed="false">
      <c r="A184" s="29" t="s">
        <v>1553</v>
      </c>
      <c r="B184" s="29" t="s">
        <v>1554</v>
      </c>
      <c r="C184" s="29" t="s">
        <v>1555</v>
      </c>
      <c r="D184" s="29" t="s">
        <v>1556</v>
      </c>
      <c r="E184" s="29" t="s">
        <v>1557</v>
      </c>
      <c r="F184" s="27"/>
    </row>
    <row r="185" customFormat="false" ht="79.5" hidden="false" customHeight="true" outlineLevel="0" collapsed="false">
      <c r="A185" s="3" t="s">
        <v>1558</v>
      </c>
      <c r="B185" s="3" t="s">
        <v>1870</v>
      </c>
      <c r="C185" s="3" t="s">
        <v>1871</v>
      </c>
      <c r="D185" s="3" t="s">
        <v>1872</v>
      </c>
      <c r="E185" s="3" t="s">
        <v>1873</v>
      </c>
      <c r="F185" s="27"/>
    </row>
    <row r="186" customFormat="false" ht="45.75" hidden="false" customHeight="true" outlineLevel="0" collapsed="false">
      <c r="A186" s="3" t="s">
        <v>1558</v>
      </c>
      <c r="B186" s="3" t="s">
        <v>1874</v>
      </c>
      <c r="C186" s="3" t="s">
        <v>1871</v>
      </c>
      <c r="D186" s="3" t="s">
        <v>1875</v>
      </c>
      <c r="E186" s="3" t="s">
        <v>1876</v>
      </c>
      <c r="F186" s="27"/>
    </row>
    <row r="187" customFormat="false" ht="45.75" hidden="false" customHeight="true" outlineLevel="0" collapsed="false">
      <c r="A187" s="3" t="s">
        <v>1558</v>
      </c>
      <c r="B187" s="3" t="s">
        <v>1877</v>
      </c>
      <c r="C187" s="3" t="s">
        <v>1878</v>
      </c>
      <c r="D187" s="3" t="s">
        <v>1879</v>
      </c>
      <c r="E187" s="3" t="s">
        <v>1880</v>
      </c>
      <c r="F187" s="27"/>
    </row>
    <row r="188" customFormat="false" ht="23.25" hidden="false" customHeight="true" outlineLevel="0" collapsed="false">
      <c r="A188" s="3" t="s">
        <v>1558</v>
      </c>
      <c r="B188" s="3" t="s">
        <v>1881</v>
      </c>
      <c r="C188" s="3" t="s">
        <v>1882</v>
      </c>
      <c r="D188" s="3" t="s">
        <v>1883</v>
      </c>
      <c r="E188" s="3" t="s">
        <v>1884</v>
      </c>
      <c r="F188" s="27"/>
    </row>
    <row r="189" customFormat="false" ht="23.25" hidden="false" customHeight="true" outlineLevel="0" collapsed="false">
      <c r="A189" s="3" t="s">
        <v>1558</v>
      </c>
      <c r="B189" s="3" t="s">
        <v>1885</v>
      </c>
      <c r="C189" s="3" t="s">
        <v>1886</v>
      </c>
      <c r="D189" s="3" t="s">
        <v>1887</v>
      </c>
      <c r="E189" s="3" t="s">
        <v>1888</v>
      </c>
      <c r="F189" s="27"/>
    </row>
    <row r="190" customFormat="false" ht="23.25" hidden="false" customHeight="true" outlineLevel="0" collapsed="false">
      <c r="A190" s="3" t="s">
        <v>1596</v>
      </c>
      <c r="B190" s="3" t="s">
        <v>1889</v>
      </c>
      <c r="C190" s="3" t="s">
        <v>1890</v>
      </c>
      <c r="D190" s="3" t="s">
        <v>1872</v>
      </c>
      <c r="E190" s="3" t="s">
        <v>1891</v>
      </c>
      <c r="F190" s="27"/>
    </row>
    <row r="191" customFormat="false" ht="23.25" hidden="false" customHeight="true" outlineLevel="0" collapsed="false">
      <c r="A191" s="3" t="s">
        <v>1596</v>
      </c>
      <c r="B191" s="3" t="s">
        <v>1892</v>
      </c>
      <c r="C191" s="3" t="s">
        <v>1890</v>
      </c>
      <c r="D191" s="3" t="s">
        <v>1872</v>
      </c>
      <c r="E191" s="3" t="s">
        <v>1893</v>
      </c>
      <c r="F191" s="27"/>
    </row>
    <row r="192" customFormat="false" ht="45.75" hidden="false" customHeight="true" outlineLevel="0" collapsed="false">
      <c r="A192" s="3" t="s">
        <v>1596</v>
      </c>
      <c r="B192" s="3" t="s">
        <v>1894</v>
      </c>
      <c r="C192" s="3" t="s">
        <v>1895</v>
      </c>
      <c r="D192" s="3" t="s">
        <v>1896</v>
      </c>
      <c r="E192" s="3" t="s">
        <v>1897</v>
      </c>
      <c r="F192" s="27"/>
    </row>
    <row r="193" customFormat="false" ht="45.75" hidden="false" customHeight="true" outlineLevel="0" collapsed="false">
      <c r="A193" s="3" t="s">
        <v>1596</v>
      </c>
      <c r="B193" s="3" t="s">
        <v>1898</v>
      </c>
      <c r="C193" s="3" t="s">
        <v>1899</v>
      </c>
      <c r="D193" s="3" t="s">
        <v>1896</v>
      </c>
      <c r="E193" s="3" t="s">
        <v>1900</v>
      </c>
      <c r="F193" s="27"/>
    </row>
    <row r="194" customFormat="false" ht="34.5" hidden="false" customHeight="true" outlineLevel="0" collapsed="false">
      <c r="A194" s="3" t="s">
        <v>1596</v>
      </c>
      <c r="B194" s="3" t="s">
        <v>1901</v>
      </c>
      <c r="C194" s="3" t="s">
        <v>1902</v>
      </c>
      <c r="D194" s="3" t="s">
        <v>1896</v>
      </c>
      <c r="E194" s="3" t="s">
        <v>1903</v>
      </c>
      <c r="F194" s="27"/>
    </row>
    <row r="195" customFormat="false" ht="15" hidden="false" customHeight="true" outlineLevel="0" collapsed="false">
      <c r="A195" s="27"/>
      <c r="B195" s="27"/>
      <c r="C195" s="27"/>
      <c r="D195" s="27"/>
      <c r="E195" s="27"/>
      <c r="F195" s="27"/>
    </row>
    <row r="196" customFormat="false" ht="15" hidden="false" customHeight="true" outlineLevel="0" collapsed="false">
      <c r="A196" s="28" t="s">
        <v>744</v>
      </c>
      <c r="B196" s="28"/>
      <c r="C196" s="28"/>
      <c r="D196" s="28"/>
      <c r="E196" s="28"/>
      <c r="F196" s="28"/>
    </row>
    <row r="197" customFormat="false" ht="15" hidden="false" customHeight="true" outlineLevel="0" collapsed="false">
      <c r="A197" s="29" t="s">
        <v>2265</v>
      </c>
      <c r="B197" s="30" t="s">
        <v>1166</v>
      </c>
      <c r="C197" s="30"/>
      <c r="D197" s="30"/>
      <c r="E197" s="30"/>
      <c r="F197" s="30"/>
    </row>
  </sheetData>
  <mergeCells count="11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A46:F46"/>
    <mergeCell ref="B47:F47"/>
    <mergeCell ref="B48:F48"/>
    <mergeCell ref="B49:F49"/>
    <mergeCell ref="B50:F50"/>
    <mergeCell ref="B51:F51"/>
    <mergeCell ref="B52:F52"/>
    <mergeCell ref="B53:F53"/>
    <mergeCell ref="B54:F54"/>
    <mergeCell ref="B55:F55"/>
    <mergeCell ref="A57:F57"/>
    <mergeCell ref="B58:F58"/>
    <mergeCell ref="B59:F59"/>
    <mergeCell ref="B60:F60"/>
    <mergeCell ref="B61:F61"/>
    <mergeCell ref="B62:F62"/>
    <mergeCell ref="B63:F63"/>
    <mergeCell ref="B64:F64"/>
    <mergeCell ref="B65:F65"/>
    <mergeCell ref="B66:F66"/>
    <mergeCell ref="A68:F68"/>
    <mergeCell ref="B69:F69"/>
    <mergeCell ref="B70:F70"/>
    <mergeCell ref="B71:F71"/>
    <mergeCell ref="B72:F72"/>
    <mergeCell ref="B73:F73"/>
    <mergeCell ref="B74:F74"/>
    <mergeCell ref="B75:F75"/>
    <mergeCell ref="B76:F76"/>
    <mergeCell ref="B77:F77"/>
    <mergeCell ref="A79:F79"/>
    <mergeCell ref="B80:F80"/>
    <mergeCell ref="B81:F81"/>
    <mergeCell ref="B82:F82"/>
    <mergeCell ref="B83:F83"/>
    <mergeCell ref="B84:F84"/>
    <mergeCell ref="B85:F85"/>
    <mergeCell ref="B86:F86"/>
    <mergeCell ref="B87:F87"/>
    <mergeCell ref="B88:F88"/>
    <mergeCell ref="A90:F90"/>
    <mergeCell ref="B91:F91"/>
    <mergeCell ref="B92:F92"/>
    <mergeCell ref="B93:F93"/>
    <mergeCell ref="B94:F94"/>
    <mergeCell ref="B95:F95"/>
    <mergeCell ref="B96:F96"/>
    <mergeCell ref="B97:F97"/>
    <mergeCell ref="B98:F98"/>
    <mergeCell ref="B99:F99"/>
    <mergeCell ref="B100:F100"/>
    <mergeCell ref="B101:F101"/>
    <mergeCell ref="B102:F102"/>
    <mergeCell ref="B103:F103"/>
    <mergeCell ref="B104:F104"/>
    <mergeCell ref="A106:F106"/>
    <mergeCell ref="B107:F107"/>
    <mergeCell ref="B108:F108"/>
    <mergeCell ref="B109:F109"/>
    <mergeCell ref="A111:F111"/>
    <mergeCell ref="B112:F112"/>
    <mergeCell ref="B113:F113"/>
    <mergeCell ref="B114:F114"/>
    <mergeCell ref="B128:F128"/>
    <mergeCell ref="B129:F129"/>
    <mergeCell ref="B130:F130"/>
    <mergeCell ref="B131:F131"/>
    <mergeCell ref="A133:F133"/>
    <mergeCell ref="B134:F134"/>
    <mergeCell ref="B135:F135"/>
    <mergeCell ref="B136:F136"/>
    <mergeCell ref="A138:F138"/>
    <mergeCell ref="A158:F158"/>
    <mergeCell ref="A171:F171"/>
    <mergeCell ref="A183:F183"/>
    <mergeCell ref="A196:F196"/>
    <mergeCell ref="B197:F1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 hidden="false" customHeight="true" outlineLevel="0" collapsed="false">
      <c r="A1" s="25" t="s">
        <v>2309</v>
      </c>
    </row>
    <row r="2" customFormat="false" ht="23.25" hidden="false" customHeight="true" outlineLevel="0" collapsed="false">
      <c r="A2" s="26" t="s">
        <v>1168</v>
      </c>
      <c r="B2" s="27"/>
      <c r="C2" s="27"/>
      <c r="D2" s="27"/>
      <c r="E2" s="27"/>
      <c r="F2" s="27"/>
    </row>
    <row r="3" customFormat="false" ht="34.5" hidden="false" customHeight="true" outlineLevel="0" collapsed="false">
      <c r="A3" s="4" t="s">
        <v>1167</v>
      </c>
      <c r="B3" s="27"/>
      <c r="C3" s="27"/>
      <c r="D3" s="27"/>
      <c r="E3" s="27"/>
      <c r="F3" s="27"/>
    </row>
    <row r="4" customFormat="false" ht="45.75" hidden="false" customHeight="true" outlineLevel="0" collapsed="false">
      <c r="A4" s="3" t="s">
        <v>2307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1169</v>
      </c>
      <c r="C7" s="30"/>
      <c r="D7" s="30"/>
      <c r="E7" s="30"/>
      <c r="F7" s="30"/>
    </row>
    <row r="8" customFormat="false" ht="15" hidden="false" customHeight="true" outlineLevel="0" collapsed="false">
      <c r="A8" s="29" t="s">
        <v>2156</v>
      </c>
      <c r="B8" s="30" t="s">
        <v>116</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34.5" hidden="false" customHeight="true" outlineLevel="0" collapsed="false">
      <c r="A12" s="29" t="s">
        <v>2160</v>
      </c>
      <c r="B12" s="30" t="s">
        <v>2183</v>
      </c>
      <c r="C12" s="30"/>
      <c r="D12" s="30"/>
      <c r="E12" s="30"/>
      <c r="F12" s="30"/>
    </row>
    <row r="13" customFormat="false" ht="45.75" hidden="false" customHeight="true" outlineLevel="0" collapsed="false">
      <c r="A13" s="29" t="s">
        <v>2161</v>
      </c>
      <c r="B13" s="30" t="s">
        <v>2184</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113</v>
      </c>
      <c r="C16" s="30"/>
      <c r="D16" s="30"/>
      <c r="E16" s="30"/>
      <c r="F16" s="30"/>
    </row>
    <row r="17" customFormat="false" ht="15" hidden="false" customHeight="true" outlineLevel="0" collapsed="false">
      <c r="A17" s="29" t="s">
        <v>627</v>
      </c>
      <c r="B17" s="30" t="s">
        <v>1169</v>
      </c>
      <c r="C17" s="30"/>
      <c r="D17" s="30"/>
      <c r="E17" s="30"/>
      <c r="F17" s="30"/>
    </row>
    <row r="18" customFormat="false" ht="15" hidden="false" customHeight="true" outlineLevel="0" collapsed="false">
      <c r="A18" s="29" t="s">
        <v>628</v>
      </c>
      <c r="B18" s="30" t="s">
        <v>1170</v>
      </c>
      <c r="C18" s="30"/>
      <c r="D18" s="30"/>
      <c r="E18" s="30"/>
      <c r="F18" s="30"/>
    </row>
    <row r="19" customFormat="false" ht="15" hidden="false" customHeight="true" outlineLevel="0" collapsed="false">
      <c r="A19" s="29" t="s">
        <v>629</v>
      </c>
      <c r="B19" s="30" t="s">
        <v>1171</v>
      </c>
      <c r="C19" s="30"/>
      <c r="D19" s="30"/>
      <c r="E19" s="30"/>
      <c r="F19" s="30"/>
    </row>
    <row r="20" customFormat="false" ht="15" hidden="false" customHeight="true" outlineLevel="0" collapsed="false">
      <c r="A20" s="29" t="s">
        <v>630</v>
      </c>
      <c r="B20" s="30" t="s">
        <v>1172</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0" t="s">
        <v>1173</v>
      </c>
      <c r="C25" s="30"/>
      <c r="D25" s="30"/>
      <c r="E25" s="30"/>
      <c r="F25" s="30"/>
    </row>
    <row r="26" customFormat="false" ht="15" hidden="false" customHeight="true" outlineLevel="0" collapsed="false">
      <c r="A26" s="29" t="s">
        <v>635</v>
      </c>
      <c r="B26" s="30" t="s">
        <v>1174</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1175</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1176</v>
      </c>
      <c r="C31" s="30"/>
      <c r="D31" s="30"/>
      <c r="E31" s="30"/>
      <c r="F31" s="30"/>
    </row>
    <row r="32" customFormat="false" ht="23.25" hidden="false" customHeight="true" outlineLevel="0" collapsed="false">
      <c r="A32" s="29" t="s">
        <v>641</v>
      </c>
      <c r="B32" s="30" t="s">
        <v>1177</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1007</v>
      </c>
      <c r="C36" s="30"/>
      <c r="D36" s="30"/>
      <c r="E36" s="30"/>
      <c r="F36" s="30"/>
    </row>
    <row r="37" customFormat="false" ht="15" hidden="false" customHeight="true" outlineLevel="0" collapsed="false">
      <c r="A37" s="29" t="s">
        <v>644</v>
      </c>
      <c r="B37" s="30" t="s">
        <v>1178</v>
      </c>
      <c r="C37" s="30"/>
      <c r="D37" s="30"/>
      <c r="E37" s="30"/>
      <c r="F37" s="30"/>
    </row>
    <row r="38" customFormat="false" ht="15" hidden="false" customHeight="true" outlineLevel="0" collapsed="false">
      <c r="A38" s="29" t="s">
        <v>645</v>
      </c>
      <c r="B38" s="30" t="s">
        <v>1179</v>
      </c>
      <c r="C38" s="30"/>
      <c r="D38" s="30"/>
      <c r="E38" s="30"/>
      <c r="F38" s="30"/>
    </row>
    <row r="39" customFormat="false" ht="15" hidden="false" customHeight="true" outlineLevel="0" collapsed="false">
      <c r="A39" s="29" t="s">
        <v>646</v>
      </c>
      <c r="B39" s="30" t="s">
        <v>1180</v>
      </c>
      <c r="C39" s="30"/>
      <c r="D39" s="30"/>
      <c r="E39" s="30"/>
      <c r="F39" s="30"/>
    </row>
    <row r="40" customFormat="false" ht="23.25" hidden="false" customHeight="true" outlineLevel="0" collapsed="false">
      <c r="A40" s="29" t="s">
        <v>647</v>
      </c>
      <c r="B40" s="30" t="s">
        <v>1181</v>
      </c>
      <c r="C40" s="30"/>
      <c r="D40" s="30"/>
      <c r="E40" s="30"/>
      <c r="F40" s="30"/>
    </row>
    <row r="41" customFormat="false" ht="23.25" hidden="false" customHeight="true" outlineLevel="0" collapsed="false">
      <c r="A41" s="29" t="s">
        <v>648</v>
      </c>
      <c r="B41" s="30" t="s">
        <v>1182</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881</v>
      </c>
      <c r="C44" s="30"/>
      <c r="D44" s="30"/>
      <c r="E44" s="30"/>
      <c r="F44" s="30"/>
    </row>
    <row r="45" customFormat="false" ht="15" hidden="false" customHeight="true" outlineLevel="0" collapsed="false">
      <c r="A45" s="29" t="s">
        <v>652</v>
      </c>
      <c r="B45" s="30" t="s">
        <v>1183</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1184</v>
      </c>
      <c r="C47" s="30"/>
      <c r="D47" s="30"/>
      <c r="E47" s="30"/>
      <c r="F47" s="30"/>
    </row>
    <row r="48" customFormat="false" ht="23.25" hidden="false" customHeight="true" outlineLevel="0" collapsed="false">
      <c r="A48" s="29" t="s">
        <v>655</v>
      </c>
      <c r="B48" s="30" t="s">
        <v>1185</v>
      </c>
      <c r="C48" s="30"/>
      <c r="D48" s="30"/>
      <c r="E48" s="30"/>
      <c r="F48" s="30"/>
    </row>
    <row r="49" customFormat="false" ht="15" hidden="false" customHeight="true" outlineLevel="0" collapsed="false">
      <c r="A49" s="29" t="s">
        <v>656</v>
      </c>
      <c r="B49" s="30" t="s">
        <v>1186</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1187</v>
      </c>
      <c r="C52" s="30"/>
      <c r="D52" s="30"/>
      <c r="E52" s="30"/>
      <c r="F52" s="30"/>
    </row>
    <row r="53" customFormat="false" ht="15" hidden="false" customHeight="true" outlineLevel="0" collapsed="false">
      <c r="A53" s="29" t="s">
        <v>658</v>
      </c>
      <c r="B53" s="30" t="s">
        <v>1188</v>
      </c>
      <c r="C53" s="30"/>
      <c r="D53" s="30"/>
      <c r="E53" s="30"/>
      <c r="F53" s="30"/>
    </row>
    <row r="54" customFormat="false" ht="15" hidden="false" customHeight="true" outlineLevel="0" collapsed="false">
      <c r="A54" s="29" t="s">
        <v>659</v>
      </c>
      <c r="B54" s="30" t="s">
        <v>1189</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2231</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7"/>
      <c r="D62" s="27"/>
      <c r="E62" s="27"/>
      <c r="F62" s="27"/>
    </row>
    <row r="63" customFormat="false" ht="15" hidden="false" customHeight="true" outlineLevel="0" collapsed="false">
      <c r="A63" s="3" t="s">
        <v>1355</v>
      </c>
      <c r="B63" s="3" t="s">
        <v>59</v>
      </c>
      <c r="C63" s="27"/>
      <c r="D63" s="27"/>
      <c r="E63" s="27"/>
      <c r="F63" s="27"/>
    </row>
    <row r="64" customFormat="false" ht="15" hidden="false" customHeight="true" outlineLevel="0" collapsed="false">
      <c r="A64" s="3" t="s">
        <v>1356</v>
      </c>
      <c r="B64" s="3" t="s">
        <v>60</v>
      </c>
      <c r="C64" s="27"/>
      <c r="D64" s="27"/>
      <c r="E64" s="27"/>
      <c r="F64" s="27"/>
    </row>
    <row r="65" customFormat="false" ht="23.25" hidden="false" customHeight="true" outlineLevel="0" collapsed="false">
      <c r="A65" s="3" t="s">
        <v>1357</v>
      </c>
      <c r="B65" s="3" t="s">
        <v>1457</v>
      </c>
      <c r="C65" s="27"/>
      <c r="D65" s="27"/>
      <c r="E65" s="27"/>
      <c r="F65" s="27"/>
    </row>
    <row r="66" customFormat="false" ht="15" hidden="false" customHeight="true" outlineLevel="0" collapsed="false">
      <c r="A66" s="3" t="s">
        <v>1358</v>
      </c>
      <c r="B66" s="3" t="s">
        <v>1458</v>
      </c>
      <c r="C66" s="27"/>
      <c r="D66" s="27"/>
      <c r="E66" s="27"/>
      <c r="F66" s="27"/>
    </row>
    <row r="67" customFormat="false" ht="34.5" hidden="false" customHeight="true" outlineLevel="0" collapsed="false">
      <c r="A67" s="3" t="s">
        <v>1359</v>
      </c>
      <c r="B67" s="3" t="s">
        <v>1459</v>
      </c>
      <c r="C67" s="27"/>
      <c r="D67" s="27"/>
      <c r="E67" s="27"/>
      <c r="F67" s="27"/>
    </row>
    <row r="68" customFormat="false" ht="79.5" hidden="false" customHeight="true" outlineLevel="0" collapsed="false">
      <c r="A68" s="3" t="s">
        <v>1360</v>
      </c>
      <c r="B68" s="3" t="s">
        <v>1460</v>
      </c>
      <c r="C68" s="27"/>
      <c r="D68" s="27"/>
      <c r="E68" s="27"/>
      <c r="F68" s="27"/>
    </row>
    <row r="69" customFormat="false" ht="45.75" hidden="false" customHeight="true" outlineLevel="0" collapsed="false">
      <c r="A69" s="3" t="s">
        <v>1361</v>
      </c>
      <c r="B69" s="3" t="s">
        <v>1461</v>
      </c>
      <c r="C69" s="27"/>
      <c r="D69" s="27"/>
      <c r="E69" s="27"/>
      <c r="F69" s="27"/>
    </row>
    <row r="70" customFormat="false" ht="34.5" hidden="false" customHeight="true" outlineLevel="0" collapsed="false">
      <c r="A70" s="3" t="s">
        <v>1362</v>
      </c>
      <c r="B70" s="3" t="s">
        <v>1462</v>
      </c>
      <c r="C70" s="27"/>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1191</v>
      </c>
      <c r="C73" s="30"/>
      <c r="D73" s="30"/>
      <c r="E73" s="30"/>
      <c r="F73" s="30"/>
    </row>
    <row r="74" customFormat="false" ht="15" hidden="false" customHeight="true" outlineLevel="0" collapsed="false">
      <c r="A74" s="29" t="s">
        <v>2238</v>
      </c>
      <c r="B74" s="30" t="s">
        <v>1192</v>
      </c>
      <c r="C74" s="30"/>
      <c r="D74" s="30"/>
      <c r="E74" s="30"/>
      <c r="F74" s="30"/>
    </row>
    <row r="75" customFormat="false" ht="23.25" hidden="false" customHeight="true" outlineLevel="0" collapsed="false">
      <c r="A75" s="29" t="s">
        <v>1359</v>
      </c>
      <c r="B75" s="30" t="s">
        <v>1193</v>
      </c>
      <c r="C75" s="30"/>
      <c r="D75" s="30"/>
      <c r="E75" s="30"/>
      <c r="F75" s="30"/>
    </row>
    <row r="76" customFormat="false" ht="23.25" hidden="false" customHeight="true" outlineLevel="0" collapsed="false">
      <c r="A76" s="29" t="s">
        <v>2239</v>
      </c>
      <c r="B76" s="30" t="s">
        <v>1194</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90.75" hidden="false" customHeight="true" outlineLevel="0" collapsed="false">
      <c r="A79" s="29" t="s">
        <v>669</v>
      </c>
      <c r="B79" s="30" t="s">
        <v>1195</v>
      </c>
      <c r="C79" s="30"/>
      <c r="D79" s="30"/>
      <c r="E79" s="30"/>
      <c r="F79" s="30"/>
    </row>
    <row r="80" customFormat="false" ht="68.25" hidden="false" customHeight="true" outlineLevel="0" collapsed="false">
      <c r="A80" s="29" t="s">
        <v>670</v>
      </c>
      <c r="B80" s="30" t="s">
        <v>1196</v>
      </c>
      <c r="C80" s="30"/>
      <c r="D80" s="30"/>
      <c r="E80" s="30"/>
      <c r="F80" s="30"/>
    </row>
    <row r="81" customFormat="false" ht="79.5" hidden="false" customHeight="true" outlineLevel="0" collapsed="false">
      <c r="A81" s="29" t="s">
        <v>671</v>
      </c>
      <c r="B81" s="30" t="s">
        <v>1197</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57" hidden="false" customHeight="true" outlineLevel="0" collapsed="false">
      <c r="A85" s="3" t="s">
        <v>2245</v>
      </c>
      <c r="B85" s="3" t="s">
        <v>1198</v>
      </c>
      <c r="C85" s="3" t="s">
        <v>2246</v>
      </c>
      <c r="D85" s="27"/>
      <c r="E85" s="27"/>
      <c r="F85" s="27"/>
    </row>
    <row r="86" customFormat="false" ht="23.25" hidden="false" customHeight="true" outlineLevel="0" collapsed="false">
      <c r="A86" s="3" t="s">
        <v>2289</v>
      </c>
      <c r="B86" s="3" t="s">
        <v>809</v>
      </c>
      <c r="C86" s="3" t="s">
        <v>2250</v>
      </c>
      <c r="D86" s="27"/>
      <c r="E86" s="27"/>
      <c r="F86" s="27"/>
    </row>
    <row r="87" customFormat="false" ht="23.25" hidden="false" customHeight="true" outlineLevel="0" collapsed="false">
      <c r="A87" s="3" t="s">
        <v>2248</v>
      </c>
      <c r="B87" s="3" t="s">
        <v>809</v>
      </c>
      <c r="C87" s="3" t="s">
        <v>2250</v>
      </c>
      <c r="D87" s="27"/>
      <c r="E87" s="27"/>
      <c r="F87" s="27"/>
    </row>
    <row r="88" customFormat="false" ht="45.75" hidden="false" customHeight="true" outlineLevel="0" collapsed="false">
      <c r="A88" s="3" t="s">
        <v>2249</v>
      </c>
      <c r="B88" s="3" t="s">
        <v>1199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57" hidden="false" customHeight="true" outlineLevel="0" collapsed="false">
      <c r="A92" s="3" t="s">
        <v>2254</v>
      </c>
      <c r="B92" s="3" t="s">
        <v>1200</v>
      </c>
      <c r="C92" s="3" t="s">
        <v>2250</v>
      </c>
      <c r="D92" s="27"/>
      <c r="E92" s="27"/>
      <c r="F92" s="27"/>
    </row>
    <row r="93" customFormat="false" ht="23.25" hidden="false" customHeight="true" outlineLevel="0" collapsed="false">
      <c r="A93" s="3" t="s">
        <v>2255</v>
      </c>
      <c r="B93" s="3" t="s">
        <v>1201</v>
      </c>
      <c r="C93" s="3" t="s">
        <v>2250</v>
      </c>
      <c r="D93" s="27"/>
      <c r="E93" s="27"/>
      <c r="F93" s="27"/>
    </row>
    <row r="94" customFormat="false" ht="15" hidden="false" customHeight="true" outlineLevel="0" collapsed="false">
      <c r="A94" s="3" t="s">
        <v>2256</v>
      </c>
      <c r="B94" s="3" t="s">
        <v>809</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15" hidden="false" customHeight="true" outlineLevel="0" collapsed="false">
      <c r="A96" s="3" t="s">
        <v>2258</v>
      </c>
      <c r="B96" s="3" t="s">
        <v>809</v>
      </c>
      <c r="C96" s="3" t="s">
        <v>2250</v>
      </c>
      <c r="D96" s="27"/>
      <c r="E96" s="27"/>
      <c r="F96" s="27"/>
    </row>
    <row r="97" customFormat="false" ht="15" hidden="false" customHeight="true" outlineLevel="0" collapsed="false">
      <c r="A97" s="3" t="s">
        <v>2259</v>
      </c>
      <c r="B97" s="3" t="s">
        <v>809</v>
      </c>
      <c r="C97" s="3" t="s">
        <v>2250</v>
      </c>
      <c r="D97" s="27"/>
      <c r="E97" s="27"/>
      <c r="F97" s="27"/>
    </row>
    <row r="98" customFormat="false" ht="23.25" hidden="false" customHeight="true" outlineLevel="0" collapsed="false">
      <c r="A98" s="3" t="s">
        <v>2260</v>
      </c>
      <c r="B98" s="3" t="s">
        <v>1202</v>
      </c>
      <c r="C98" s="3" t="s">
        <v>2250</v>
      </c>
      <c r="D98" s="27"/>
      <c r="E98" s="27"/>
      <c r="F98" s="27"/>
    </row>
    <row r="99" customFormat="false" ht="15" hidden="false" customHeight="true" outlineLevel="0" collapsed="false">
      <c r="A99" s="3" t="s">
        <v>2261</v>
      </c>
      <c r="B99" s="3" t="s">
        <v>809</v>
      </c>
      <c r="C99" s="3" t="s">
        <v>2250</v>
      </c>
      <c r="D99" s="27"/>
      <c r="E99" s="27"/>
      <c r="F99" s="27"/>
    </row>
    <row r="100" customFormat="false" ht="15" hidden="false" customHeight="true" outlineLevel="0" collapsed="false">
      <c r="A100" s="3" t="s">
        <v>2262</v>
      </c>
      <c r="B100" s="3" t="s">
        <v>809</v>
      </c>
      <c r="C100" s="3" t="s">
        <v>2250</v>
      </c>
      <c r="D100" s="27"/>
      <c r="E100" s="27"/>
      <c r="F100" s="27"/>
    </row>
    <row r="101" customFormat="false" ht="34.5" hidden="false" customHeight="true" outlineLevel="0" collapsed="false">
      <c r="A101" s="26" t="s">
        <v>1203</v>
      </c>
      <c r="B101" s="27"/>
      <c r="C101" s="27"/>
      <c r="D101" s="27"/>
      <c r="E101" s="27"/>
      <c r="F101" s="27"/>
    </row>
    <row r="102" customFormat="false" ht="15" hidden="false" customHeight="true" outlineLevel="0" collapsed="false">
      <c r="A102" s="27"/>
      <c r="B102" s="27"/>
      <c r="C102" s="27"/>
      <c r="D102" s="27"/>
      <c r="E102" s="27"/>
      <c r="F102" s="27"/>
    </row>
    <row r="103" customFormat="false" ht="15" hidden="false" customHeight="true" outlineLevel="0" collapsed="false">
      <c r="A103" s="28" t="s">
        <v>2263</v>
      </c>
      <c r="B103" s="28"/>
      <c r="C103" s="28"/>
      <c r="D103" s="28"/>
      <c r="E103" s="28"/>
      <c r="F103" s="28"/>
    </row>
    <row r="104" customFormat="false" ht="15" hidden="false" customHeight="true" outlineLevel="0" collapsed="false">
      <c r="A104" s="29" t="s">
        <v>2264</v>
      </c>
      <c r="B104" s="29" t="s">
        <v>2265</v>
      </c>
      <c r="C104" s="29" t="s">
        <v>2244</v>
      </c>
      <c r="D104" s="27"/>
      <c r="E104" s="27"/>
      <c r="F104" s="27"/>
    </row>
    <row r="105" customFormat="false" ht="15" hidden="false" customHeight="true" outlineLevel="0" collapsed="false">
      <c r="A105" s="3" t="s">
        <v>2266</v>
      </c>
      <c r="B105" s="3" t="s">
        <v>1204</v>
      </c>
      <c r="C105" s="3" t="s">
        <v>2250</v>
      </c>
      <c r="D105" s="27"/>
      <c r="E105" s="27"/>
      <c r="F105" s="27"/>
    </row>
    <row r="106" customFormat="false" ht="34.5" hidden="false" customHeight="true" outlineLevel="0" collapsed="false">
      <c r="A106" s="3" t="s">
        <v>2267</v>
      </c>
      <c r="B106" s="3" t="s">
        <v>1205</v>
      </c>
      <c r="C106" s="3" t="s">
        <v>2250</v>
      </c>
      <c r="D106" s="27"/>
      <c r="E106" s="27"/>
      <c r="F106" s="27"/>
    </row>
    <row r="107" customFormat="false" ht="34.5" hidden="false" customHeight="true" outlineLevel="0" collapsed="false">
      <c r="A107" s="3" t="s">
        <v>2268</v>
      </c>
      <c r="B107" s="3" t="s">
        <v>1206</v>
      </c>
      <c r="C107" s="3" t="s">
        <v>2246</v>
      </c>
      <c r="D107" s="27"/>
      <c r="E107" s="27"/>
      <c r="F107" s="27"/>
    </row>
    <row r="108" customFormat="false" ht="15" hidden="false" customHeight="true" outlineLevel="0" collapsed="false">
      <c r="A108" s="3" t="s">
        <v>2269</v>
      </c>
      <c r="B108" s="3" t="s">
        <v>809</v>
      </c>
      <c r="C108" s="3" t="s">
        <v>2250</v>
      </c>
      <c r="D108" s="27"/>
      <c r="E108" s="27"/>
      <c r="F108" s="27"/>
    </row>
    <row r="109" customFormat="false" ht="15" hidden="false" customHeight="true" outlineLevel="0" collapsed="false">
      <c r="A109" s="3" t="s">
        <v>2270</v>
      </c>
      <c r="B109" s="3" t="s">
        <v>809</v>
      </c>
      <c r="C109" s="3" t="s">
        <v>2250</v>
      </c>
      <c r="D109" s="27"/>
      <c r="E109" s="27"/>
      <c r="F109" s="27"/>
    </row>
    <row r="110" customFormat="false" ht="15" hidden="false" customHeight="true" outlineLevel="0" collapsed="false">
      <c r="A110" s="3" t="s">
        <v>2271</v>
      </c>
      <c r="B110" s="3" t="s">
        <v>809</v>
      </c>
      <c r="C110" s="3" t="s">
        <v>2250</v>
      </c>
      <c r="D110" s="27"/>
      <c r="E110" s="27"/>
      <c r="F110" s="27"/>
    </row>
    <row r="111" customFormat="false" ht="34.5" hidden="false" customHeight="true" outlineLevel="0" collapsed="false">
      <c r="A111" s="3" t="s">
        <v>2272</v>
      </c>
      <c r="B111" s="3" t="s">
        <v>1207</v>
      </c>
      <c r="C111" s="3" t="s">
        <v>2246</v>
      </c>
      <c r="D111" s="27"/>
      <c r="E111" s="27"/>
      <c r="F111" s="27"/>
    </row>
    <row r="112" customFormat="false" ht="15" hidden="false" customHeight="true" outlineLevel="0" collapsed="false">
      <c r="A112" s="3" t="s">
        <v>2273</v>
      </c>
      <c r="B112" s="3" t="s">
        <v>1208</v>
      </c>
      <c r="C112" s="3" t="s">
        <v>2250</v>
      </c>
      <c r="D112" s="27"/>
      <c r="E112" s="27"/>
      <c r="F112" s="27"/>
    </row>
    <row r="113" customFormat="false" ht="15" hidden="false" customHeight="true" outlineLevel="0" collapsed="false">
      <c r="A113" s="3" t="s">
        <v>2274</v>
      </c>
      <c r="B113" s="3" t="s">
        <v>809</v>
      </c>
      <c r="C113" s="3" t="s">
        <v>2250</v>
      </c>
      <c r="D113" s="27"/>
      <c r="E113" s="27"/>
      <c r="F113" s="27"/>
    </row>
    <row r="114" customFormat="false" ht="15" hidden="false" customHeight="true" outlineLevel="0" collapsed="false">
      <c r="A114" s="3" t="s">
        <v>2275</v>
      </c>
      <c r="B114" s="3" t="s">
        <v>809</v>
      </c>
      <c r="C114" s="3" t="s">
        <v>2250</v>
      </c>
      <c r="D114" s="27"/>
      <c r="E114" s="27"/>
      <c r="F114" s="27"/>
    </row>
    <row r="115" customFormat="false" ht="15" hidden="false" customHeight="true" outlineLevel="0" collapsed="false">
      <c r="A115" s="27"/>
      <c r="B115" s="27"/>
      <c r="C115" s="27"/>
      <c r="D115" s="27"/>
      <c r="E115" s="27"/>
      <c r="F115" s="27"/>
    </row>
    <row r="116" customFormat="false" ht="15" hidden="false" customHeight="true" outlineLevel="0" collapsed="false">
      <c r="A116" s="28" t="s">
        <v>2276</v>
      </c>
      <c r="B116" s="28"/>
      <c r="C116" s="28"/>
      <c r="D116" s="28"/>
      <c r="E116" s="28"/>
      <c r="F116" s="28"/>
    </row>
    <row r="117" customFormat="false" ht="15" hidden="false" customHeight="true" outlineLevel="0" collapsed="false">
      <c r="A117" s="29" t="s">
        <v>2277</v>
      </c>
      <c r="B117" s="29" t="s">
        <v>2278</v>
      </c>
      <c r="C117" s="29" t="s">
        <v>24</v>
      </c>
      <c r="D117" s="27"/>
      <c r="E117" s="27"/>
      <c r="F117" s="27"/>
    </row>
    <row r="118" customFormat="false" ht="23.25" hidden="false" customHeight="true" outlineLevel="0" collapsed="false">
      <c r="A118" s="3" t="s">
        <v>2279</v>
      </c>
      <c r="B118" s="3" t="s">
        <v>1209</v>
      </c>
      <c r="C118" s="3" t="s">
        <v>797</v>
      </c>
      <c r="D118" s="27"/>
      <c r="E118" s="27"/>
      <c r="F118" s="27"/>
    </row>
    <row r="119" customFormat="false" ht="23.25" hidden="false" customHeight="true" outlineLevel="0" collapsed="false">
      <c r="A119" s="3" t="s">
        <v>2280</v>
      </c>
      <c r="B119" s="3" t="s">
        <v>1210</v>
      </c>
      <c r="C119" s="3" t="s">
        <v>797</v>
      </c>
      <c r="D119" s="27"/>
      <c r="E119" s="27"/>
      <c r="F119" s="27"/>
    </row>
    <row r="120" customFormat="false" ht="34.5" hidden="false" customHeight="true" outlineLevel="0" collapsed="false">
      <c r="A120" s="3" t="s">
        <v>2281</v>
      </c>
      <c r="B120" s="3" t="s">
        <v>1211</v>
      </c>
      <c r="C120" s="3" t="s">
        <v>797</v>
      </c>
      <c r="D120" s="27"/>
      <c r="E120" s="27"/>
      <c r="F120" s="27"/>
    </row>
    <row r="121" customFormat="false" ht="15" hidden="false" customHeight="true" outlineLevel="0" collapsed="false">
      <c r="A121" s="3" t="s">
        <v>2227</v>
      </c>
      <c r="B121" s="3" t="s">
        <v>1212</v>
      </c>
      <c r="C121" s="3" t="s">
        <v>801</v>
      </c>
      <c r="D121" s="27"/>
      <c r="E121" s="27"/>
      <c r="F121" s="27"/>
    </row>
    <row r="122" customFormat="false" ht="23.25" hidden="false" customHeight="true" outlineLevel="0" collapsed="false">
      <c r="A122" s="3" t="s">
        <v>2229</v>
      </c>
      <c r="B122" s="3" t="s">
        <v>1213</v>
      </c>
      <c r="C122" s="3" t="s">
        <v>804</v>
      </c>
      <c r="D122" s="27"/>
      <c r="E122" s="27"/>
      <c r="F122" s="27"/>
    </row>
    <row r="123" customFormat="false" ht="15" hidden="false" customHeight="true" outlineLevel="0" collapsed="false">
      <c r="A123" s="3" t="s">
        <v>2230</v>
      </c>
      <c r="B123" s="3" t="s">
        <v>809</v>
      </c>
      <c r="C123" s="3" t="s">
        <v>804</v>
      </c>
      <c r="D123" s="27"/>
      <c r="E123" s="27"/>
      <c r="F123" s="27"/>
    </row>
    <row r="124" customFormat="false" ht="34.5" hidden="false" customHeight="true" outlineLevel="0" collapsed="false">
      <c r="A124" s="3" t="s">
        <v>2282</v>
      </c>
      <c r="B124" s="3" t="s">
        <v>1214</v>
      </c>
      <c r="C124" s="3" t="s">
        <v>797</v>
      </c>
      <c r="D124" s="27"/>
      <c r="E124" s="27"/>
      <c r="F124" s="27"/>
    </row>
    <row r="125" customFormat="false" ht="15" hidden="false" customHeight="true" outlineLevel="0" collapsed="false">
      <c r="A125" s="3" t="s">
        <v>2283</v>
      </c>
      <c r="B125" s="3" t="s">
        <v>866</v>
      </c>
      <c r="C125" s="3" t="s">
        <v>746</v>
      </c>
      <c r="D125" s="27"/>
      <c r="E125" s="27"/>
      <c r="F125" s="27"/>
    </row>
    <row r="126" customFormat="false" ht="15" hidden="false" customHeight="true" outlineLevel="0" collapsed="false">
      <c r="A126" s="3" t="s">
        <v>2284</v>
      </c>
      <c r="B126" s="3" t="s">
        <v>809</v>
      </c>
      <c r="C126" s="3" t="s">
        <v>867</v>
      </c>
      <c r="D126" s="27"/>
      <c r="E126" s="27"/>
      <c r="F126" s="27"/>
    </row>
    <row r="127" customFormat="false" ht="15" hidden="false" customHeight="true" outlineLevel="0" collapsed="false">
      <c r="A127" s="27"/>
      <c r="B127" s="27"/>
      <c r="C127" s="27"/>
      <c r="D127" s="27"/>
      <c r="E127" s="27"/>
      <c r="F127" s="27"/>
    </row>
    <row r="128" customFormat="false" ht="15" hidden="false" customHeight="true" outlineLevel="0" collapsed="false">
      <c r="A128" s="28" t="s">
        <v>2285</v>
      </c>
      <c r="B128" s="28"/>
      <c r="C128" s="28"/>
      <c r="D128" s="28"/>
      <c r="E128" s="28"/>
      <c r="F128" s="28"/>
    </row>
    <row r="129" customFormat="false" ht="15" hidden="false" customHeight="true" outlineLevel="0" collapsed="false">
      <c r="A129" s="29" t="s">
        <v>1553</v>
      </c>
      <c r="B129" s="29" t="s">
        <v>1554</v>
      </c>
      <c r="C129" s="29" t="s">
        <v>1555</v>
      </c>
      <c r="D129" s="29" t="s">
        <v>1556</v>
      </c>
      <c r="E129" s="29" t="s">
        <v>1557</v>
      </c>
      <c r="F129" s="27"/>
    </row>
    <row r="130" customFormat="false" ht="34.5" hidden="false" customHeight="true" outlineLevel="0" collapsed="false">
      <c r="A130" s="3" t="s">
        <v>1558</v>
      </c>
      <c r="B130" s="3" t="s">
        <v>1904</v>
      </c>
      <c r="C130" s="3" t="s">
        <v>1905</v>
      </c>
      <c r="D130" s="3" t="s">
        <v>1906</v>
      </c>
      <c r="E130" s="3" t="s">
        <v>119</v>
      </c>
      <c r="F130" s="27"/>
    </row>
    <row r="131" customFormat="false" ht="23.25" hidden="false" customHeight="true" outlineLevel="0" collapsed="false">
      <c r="A131" s="3" t="s">
        <v>1558</v>
      </c>
      <c r="B131" s="3" t="s">
        <v>1907</v>
      </c>
      <c r="C131" s="3" t="s">
        <v>1905</v>
      </c>
      <c r="D131" s="3" t="s">
        <v>1908</v>
      </c>
      <c r="E131" s="3" t="s">
        <v>1909</v>
      </c>
      <c r="F131" s="27"/>
    </row>
    <row r="132" customFormat="false" ht="23.25" hidden="false" customHeight="true" outlineLevel="0" collapsed="false">
      <c r="A132" s="3" t="s">
        <v>1558</v>
      </c>
      <c r="B132" s="3" t="s">
        <v>1910</v>
      </c>
      <c r="C132" s="3" t="s">
        <v>1911</v>
      </c>
      <c r="D132" s="3" t="s">
        <v>1912</v>
      </c>
      <c r="E132" s="3" t="s">
        <v>1913</v>
      </c>
      <c r="F132" s="27"/>
    </row>
    <row r="133" customFormat="false" ht="23.25" hidden="false" customHeight="true" outlineLevel="0" collapsed="false">
      <c r="A133" s="3" t="s">
        <v>1558</v>
      </c>
      <c r="B133" s="3" t="s">
        <v>1914</v>
      </c>
      <c r="C133" s="3" t="s">
        <v>1915</v>
      </c>
      <c r="D133" s="3" t="s">
        <v>1916</v>
      </c>
      <c r="E133" s="3" t="s">
        <v>1917</v>
      </c>
      <c r="F133" s="27"/>
    </row>
    <row r="134" customFormat="false" ht="15" hidden="false" customHeight="true" outlineLevel="0" collapsed="false">
      <c r="A134" s="3" t="s">
        <v>1558</v>
      </c>
      <c r="B134" s="3" t="s">
        <v>1918</v>
      </c>
      <c r="C134" s="3" t="s">
        <v>1919</v>
      </c>
      <c r="D134" s="3" t="s">
        <v>1920</v>
      </c>
      <c r="E134" s="3" t="s">
        <v>1921</v>
      </c>
      <c r="F134" s="27"/>
    </row>
    <row r="135" customFormat="false" ht="15" hidden="false" customHeight="true" outlineLevel="0" collapsed="false">
      <c r="A135" s="3" t="s">
        <v>1558</v>
      </c>
      <c r="B135" s="3" t="s">
        <v>1922</v>
      </c>
      <c r="C135" s="3" t="s">
        <v>1905</v>
      </c>
      <c r="D135" s="3" t="s">
        <v>1923</v>
      </c>
      <c r="E135" s="3" t="s">
        <v>1917</v>
      </c>
      <c r="F135" s="27"/>
    </row>
    <row r="136" customFormat="false" ht="23.25" hidden="false" customHeight="true" outlineLevel="0" collapsed="false">
      <c r="A136" s="3" t="s">
        <v>1596</v>
      </c>
      <c r="B136" s="3" t="s">
        <v>1924</v>
      </c>
      <c r="C136" s="3" t="s">
        <v>1925</v>
      </c>
      <c r="D136" s="3" t="s">
        <v>1923</v>
      </c>
      <c r="E136" s="3" t="s">
        <v>1926</v>
      </c>
      <c r="F136" s="27"/>
    </row>
    <row r="137" customFormat="false" ht="23.25" hidden="false" customHeight="true" outlineLevel="0" collapsed="false">
      <c r="A137" s="3" t="s">
        <v>1596</v>
      </c>
      <c r="B137" s="3" t="s">
        <v>1927</v>
      </c>
      <c r="C137" s="3" t="s">
        <v>1925</v>
      </c>
      <c r="D137" s="3" t="s">
        <v>1916</v>
      </c>
      <c r="E137" s="3" t="s">
        <v>1928</v>
      </c>
      <c r="F137" s="27"/>
    </row>
    <row r="138" customFormat="false" ht="34.5" hidden="false" customHeight="true" outlineLevel="0" collapsed="false">
      <c r="A138" s="3" t="s">
        <v>1596</v>
      </c>
      <c r="B138" s="3" t="s">
        <v>1929</v>
      </c>
      <c r="C138" s="3" t="s">
        <v>1930</v>
      </c>
      <c r="D138" s="3" t="s">
        <v>1931</v>
      </c>
      <c r="E138" s="3" t="s">
        <v>1932</v>
      </c>
      <c r="F138" s="27"/>
    </row>
    <row r="139" customFormat="false" ht="34.5" hidden="false" customHeight="true" outlineLevel="0" collapsed="false">
      <c r="A139" s="3" t="s">
        <v>1596</v>
      </c>
      <c r="B139" s="3" t="s">
        <v>1933</v>
      </c>
      <c r="C139" s="3" t="s">
        <v>1934</v>
      </c>
      <c r="D139" s="3" t="s">
        <v>1912</v>
      </c>
      <c r="E139" s="3" t="s">
        <v>1935</v>
      </c>
      <c r="F139" s="27"/>
    </row>
    <row r="140" customFormat="false" ht="34.5" hidden="false" customHeight="true" outlineLevel="0" collapsed="false">
      <c r="A140" s="3" t="s">
        <v>1596</v>
      </c>
      <c r="B140" s="3" t="s">
        <v>1936</v>
      </c>
      <c r="C140" s="3" t="s">
        <v>1937</v>
      </c>
      <c r="D140" s="3" t="s">
        <v>1938</v>
      </c>
      <c r="E140" s="3" t="s">
        <v>1939</v>
      </c>
      <c r="F140" s="27"/>
    </row>
    <row r="141" customFormat="false" ht="23.25" hidden="false" customHeight="true" outlineLevel="0" collapsed="false">
      <c r="A141" s="3" t="s">
        <v>1596</v>
      </c>
      <c r="B141" s="3" t="s">
        <v>1940</v>
      </c>
      <c r="C141" s="3" t="s">
        <v>1941</v>
      </c>
      <c r="D141" s="3" t="s">
        <v>1942</v>
      </c>
      <c r="E141" s="3" t="s">
        <v>1943</v>
      </c>
      <c r="F141" s="27"/>
    </row>
    <row r="142" customFormat="false" ht="23.25" hidden="false" customHeight="true" outlineLevel="0" collapsed="false">
      <c r="A142" s="3" t="s">
        <v>1596</v>
      </c>
      <c r="B142" s="3" t="s">
        <v>1944</v>
      </c>
      <c r="C142" s="3" t="s">
        <v>1925</v>
      </c>
      <c r="D142" s="3" t="s">
        <v>1945</v>
      </c>
      <c r="E142" s="3" t="s">
        <v>1946</v>
      </c>
      <c r="F142" s="27"/>
    </row>
    <row r="143" customFormat="false" ht="23.25" hidden="false" customHeight="true" outlineLevel="0" collapsed="false">
      <c r="A143" s="3" t="s">
        <v>1596</v>
      </c>
      <c r="B143" s="3" t="s">
        <v>1947</v>
      </c>
      <c r="C143" s="3" t="s">
        <v>1948</v>
      </c>
      <c r="D143" s="3" t="s">
        <v>1908</v>
      </c>
      <c r="E143" s="3" t="s">
        <v>1949</v>
      </c>
      <c r="F143" s="27"/>
    </row>
    <row r="144" customFormat="false" ht="23.25" hidden="false" customHeight="true" outlineLevel="0" collapsed="false">
      <c r="A144" s="3" t="s">
        <v>1596</v>
      </c>
      <c r="B144" s="3" t="s">
        <v>1950</v>
      </c>
      <c r="C144" s="3" t="s">
        <v>1951</v>
      </c>
      <c r="D144" s="3" t="s">
        <v>1908</v>
      </c>
      <c r="E144" s="3" t="s">
        <v>1952</v>
      </c>
      <c r="F144" s="27"/>
    </row>
    <row r="145" customFormat="false" ht="23.25" hidden="false" customHeight="true" outlineLevel="0" collapsed="false">
      <c r="A145" s="3" t="s">
        <v>1596</v>
      </c>
      <c r="B145" s="3" t="s">
        <v>1953</v>
      </c>
      <c r="C145" s="3" t="s">
        <v>1954</v>
      </c>
      <c r="D145" s="3" t="s">
        <v>1955</v>
      </c>
      <c r="E145" s="3" t="s">
        <v>1956</v>
      </c>
      <c r="F145" s="27"/>
    </row>
    <row r="146" customFormat="false" ht="23.25" hidden="false" customHeight="true" outlineLevel="0" collapsed="false">
      <c r="A146" s="3" t="s">
        <v>1596</v>
      </c>
      <c r="B146" s="3" t="s">
        <v>1957</v>
      </c>
      <c r="C146" s="3" t="s">
        <v>1930</v>
      </c>
      <c r="D146" s="3" t="s">
        <v>1958</v>
      </c>
      <c r="E146" s="3" t="s">
        <v>1959</v>
      </c>
      <c r="F146" s="27"/>
    </row>
    <row r="147" customFormat="false" ht="34.5" hidden="false" customHeight="true" outlineLevel="0" collapsed="false">
      <c r="A147" s="3" t="s">
        <v>1596</v>
      </c>
      <c r="B147" s="3" t="s">
        <v>1960</v>
      </c>
      <c r="C147" s="3" t="s">
        <v>1934</v>
      </c>
      <c r="D147" s="3" t="s">
        <v>1961</v>
      </c>
      <c r="E147" s="3" t="s">
        <v>1962</v>
      </c>
      <c r="F147" s="27"/>
    </row>
    <row r="148" customFormat="false" ht="23.25" hidden="false" customHeight="true" outlineLevel="0" collapsed="false">
      <c r="A148" s="3" t="s">
        <v>1596</v>
      </c>
      <c r="B148" s="3" t="s">
        <v>1963</v>
      </c>
      <c r="C148" s="3" t="s">
        <v>1964</v>
      </c>
      <c r="D148" s="3" t="s">
        <v>1961</v>
      </c>
      <c r="E148" s="3" t="s">
        <v>1965</v>
      </c>
      <c r="F148" s="27"/>
    </row>
    <row r="149" customFormat="false" ht="23.25" hidden="false" customHeight="true" outlineLevel="0" collapsed="false">
      <c r="A149" s="3" t="s">
        <v>1596</v>
      </c>
      <c r="B149" s="3" t="s">
        <v>1966</v>
      </c>
      <c r="C149" s="3" t="s">
        <v>1925</v>
      </c>
      <c r="D149" s="3" t="s">
        <v>1961</v>
      </c>
      <c r="E149" s="3" t="s">
        <v>1967</v>
      </c>
      <c r="F149" s="27"/>
    </row>
    <row r="150" customFormat="false" ht="23.25" hidden="false" customHeight="true" outlineLevel="0" collapsed="false">
      <c r="A150" s="3" t="s">
        <v>1596</v>
      </c>
      <c r="B150" s="3" t="s">
        <v>1968</v>
      </c>
      <c r="C150" s="3" t="s">
        <v>1969</v>
      </c>
      <c r="D150" s="3" t="s">
        <v>1970</v>
      </c>
      <c r="E150" s="3" t="s">
        <v>1971</v>
      </c>
      <c r="F150" s="27"/>
    </row>
    <row r="151" customFormat="false" ht="23.25" hidden="false" customHeight="true" outlineLevel="0" collapsed="false">
      <c r="A151" s="3" t="s">
        <v>1596</v>
      </c>
      <c r="B151" s="3" t="s">
        <v>1972</v>
      </c>
      <c r="C151" s="3" t="s">
        <v>1973</v>
      </c>
      <c r="D151" s="3" t="s">
        <v>1974</v>
      </c>
      <c r="E151" s="3" t="s">
        <v>1975</v>
      </c>
      <c r="F151" s="27"/>
    </row>
    <row r="152" customFormat="false" ht="15" hidden="false" customHeight="true" outlineLevel="0" collapsed="false">
      <c r="A152" s="27"/>
      <c r="B152" s="27"/>
      <c r="C152" s="27"/>
      <c r="D152" s="27"/>
      <c r="E152" s="27"/>
      <c r="F152" s="27"/>
    </row>
    <row r="153" customFormat="false" ht="15" hidden="false" customHeight="true" outlineLevel="0" collapsed="false">
      <c r="A153" s="28" t="s">
        <v>744</v>
      </c>
      <c r="B153" s="28"/>
      <c r="C153" s="28"/>
      <c r="D153" s="28"/>
      <c r="E153" s="28"/>
      <c r="F153" s="28"/>
    </row>
    <row r="154" customFormat="false" ht="15" hidden="false" customHeight="true" outlineLevel="0" collapsed="false">
      <c r="A154" s="29" t="s">
        <v>2265</v>
      </c>
      <c r="B154" s="30" t="s">
        <v>1215</v>
      </c>
      <c r="C154" s="30"/>
      <c r="D154" s="30"/>
      <c r="E154" s="30"/>
      <c r="F154"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3:F153"/>
    <mergeCell ref="B154:F1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 hidden="false" customHeight="true" outlineLevel="0" collapsed="false">
      <c r="A1" s="25" t="s">
        <v>2310</v>
      </c>
    </row>
    <row r="2" customFormat="false" ht="34.5" hidden="false" customHeight="true" outlineLevel="0" collapsed="false">
      <c r="A2" s="26" t="s">
        <v>1217</v>
      </c>
      <c r="B2" s="27"/>
      <c r="C2" s="27"/>
      <c r="D2" s="27"/>
      <c r="E2" s="27"/>
      <c r="F2" s="27"/>
    </row>
    <row r="3" customFormat="false" ht="57" hidden="false" customHeight="true" outlineLevel="0" collapsed="false">
      <c r="A3" s="4" t="s">
        <v>1216</v>
      </c>
      <c r="B3" s="27"/>
      <c r="C3" s="27"/>
      <c r="D3" s="27"/>
      <c r="E3" s="27"/>
      <c r="F3" s="27"/>
    </row>
    <row r="4" customFormat="false" ht="45.75" hidden="false" customHeight="true" outlineLevel="0" collapsed="false">
      <c r="A4" s="3" t="s">
        <v>2307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1218</v>
      </c>
      <c r="C7" s="30"/>
      <c r="D7" s="30"/>
      <c r="E7" s="30"/>
      <c r="F7" s="30"/>
    </row>
    <row r="8" customFormat="false" ht="15" hidden="false" customHeight="true" outlineLevel="0" collapsed="false">
      <c r="A8" s="29" t="s">
        <v>2156</v>
      </c>
      <c r="B8" s="30" t="s">
        <v>124</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34.5" hidden="false" customHeight="true" outlineLevel="0" collapsed="false">
      <c r="A12" s="29" t="s">
        <v>2160</v>
      </c>
      <c r="B12" s="30" t="s">
        <v>2185</v>
      </c>
      <c r="C12" s="30"/>
      <c r="D12" s="30"/>
      <c r="E12" s="30"/>
      <c r="F12" s="30"/>
    </row>
    <row r="13" customFormat="false" ht="45.75" hidden="false" customHeight="true" outlineLevel="0" collapsed="false">
      <c r="A13" s="29" t="s">
        <v>2161</v>
      </c>
      <c r="B13" s="30" t="s">
        <v>2186</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121</v>
      </c>
      <c r="C16" s="30"/>
      <c r="D16" s="30"/>
      <c r="E16" s="30"/>
      <c r="F16" s="30"/>
    </row>
    <row r="17" customFormat="false" ht="15" hidden="false" customHeight="true" outlineLevel="0" collapsed="false">
      <c r="A17" s="29" t="s">
        <v>627</v>
      </c>
      <c r="B17" s="30" t="s">
        <v>1218</v>
      </c>
      <c r="C17" s="30"/>
      <c r="D17" s="30"/>
      <c r="E17" s="30"/>
      <c r="F17" s="30"/>
    </row>
    <row r="18" customFormat="false" ht="15" hidden="false" customHeight="true" outlineLevel="0" collapsed="false">
      <c r="A18" s="29" t="s">
        <v>628</v>
      </c>
      <c r="B18" s="30" t="s">
        <v>1219</v>
      </c>
      <c r="C18" s="30"/>
      <c r="D18" s="30"/>
      <c r="E18" s="30"/>
      <c r="F18" s="30"/>
    </row>
    <row r="19" customFormat="false" ht="15" hidden="false" customHeight="true" outlineLevel="0" collapsed="false">
      <c r="A19" s="29" t="s">
        <v>629</v>
      </c>
      <c r="B19" s="30" t="s">
        <v>1094</v>
      </c>
      <c r="C19" s="30"/>
      <c r="D19" s="30"/>
      <c r="E19" s="30"/>
      <c r="F19" s="30"/>
    </row>
    <row r="20" customFormat="false" ht="15" hidden="false" customHeight="true" outlineLevel="0" collapsed="false">
      <c r="A20" s="29" t="s">
        <v>630</v>
      </c>
      <c r="B20" s="30" t="s">
        <v>1220</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0" t="s">
        <v>1221</v>
      </c>
      <c r="C25" s="30"/>
      <c r="D25" s="30"/>
      <c r="E25" s="30"/>
      <c r="F25" s="30"/>
    </row>
    <row r="26" customFormat="false" ht="15" hidden="false" customHeight="true" outlineLevel="0" collapsed="false">
      <c r="A26" s="29" t="s">
        <v>635</v>
      </c>
      <c r="B26" s="30" t="s">
        <v>1222</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1223</v>
      </c>
      <c r="C28" s="30"/>
      <c r="D28" s="30"/>
      <c r="E28" s="30"/>
      <c r="F28" s="30"/>
    </row>
    <row r="29" customFormat="false" ht="15" hidden="false" customHeight="true" outlineLevel="0" collapsed="false">
      <c r="A29" s="29" t="s">
        <v>638</v>
      </c>
      <c r="B29" s="30" t="s">
        <v>758</v>
      </c>
      <c r="C29" s="30"/>
      <c r="D29" s="30"/>
      <c r="E29" s="30"/>
      <c r="F29" s="30"/>
    </row>
    <row r="30" customFormat="false" ht="15" hidden="false" customHeight="true" outlineLevel="0" collapsed="false">
      <c r="A30" s="29" t="s">
        <v>639</v>
      </c>
      <c r="B30" s="30" t="s">
        <v>1224</v>
      </c>
      <c r="C30" s="30"/>
      <c r="D30" s="30"/>
      <c r="E30" s="30"/>
      <c r="F30" s="30"/>
    </row>
    <row r="31" customFormat="false" ht="15" hidden="false" customHeight="true" outlineLevel="0" collapsed="false">
      <c r="A31" s="29" t="s">
        <v>640</v>
      </c>
      <c r="B31" s="30" t="s">
        <v>1225</v>
      </c>
      <c r="C31" s="30"/>
      <c r="D31" s="30"/>
      <c r="E31" s="30"/>
      <c r="F31" s="30"/>
    </row>
    <row r="32" customFormat="false" ht="23.25" hidden="false" customHeight="true" outlineLevel="0" collapsed="false">
      <c r="A32" s="29" t="s">
        <v>641</v>
      </c>
      <c r="B32" s="30" t="s">
        <v>1226</v>
      </c>
      <c r="C32" s="30"/>
      <c r="D32" s="30"/>
      <c r="E32" s="30"/>
      <c r="F32" s="30"/>
    </row>
    <row r="33" customFormat="false" ht="15" hidden="false" customHeight="true" outlineLevel="0" collapsed="false">
      <c r="A33" s="29" t="s">
        <v>642</v>
      </c>
      <c r="B33" s="30" t="s">
        <v>1227</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1007</v>
      </c>
      <c r="C36" s="30"/>
      <c r="D36" s="30"/>
      <c r="E36" s="30"/>
      <c r="F36" s="30"/>
    </row>
    <row r="37" customFormat="false" ht="23.25" hidden="false" customHeight="true" outlineLevel="0" collapsed="false">
      <c r="A37" s="29" t="s">
        <v>644</v>
      </c>
      <c r="B37" s="30" t="s">
        <v>1228</v>
      </c>
      <c r="C37" s="30"/>
      <c r="D37" s="30"/>
      <c r="E37" s="30"/>
      <c r="F37" s="30"/>
    </row>
    <row r="38" customFormat="false" ht="15" hidden="false" customHeight="true" outlineLevel="0" collapsed="false">
      <c r="A38" s="29" t="s">
        <v>645</v>
      </c>
      <c r="B38" s="30" t="s">
        <v>1229</v>
      </c>
      <c r="C38" s="30"/>
      <c r="D38" s="30"/>
      <c r="E38" s="30"/>
      <c r="F38" s="30"/>
    </row>
    <row r="39" customFormat="false" ht="15" hidden="false" customHeight="true" outlineLevel="0" collapsed="false">
      <c r="A39" s="29" t="s">
        <v>646</v>
      </c>
      <c r="B39" s="30" t="s">
        <v>1230</v>
      </c>
      <c r="C39" s="30"/>
      <c r="D39" s="30"/>
      <c r="E39" s="30"/>
      <c r="F39" s="30"/>
    </row>
    <row r="40" customFormat="false" ht="23.25" hidden="false" customHeight="true" outlineLevel="0" collapsed="false">
      <c r="A40" s="29" t="s">
        <v>647</v>
      </c>
      <c r="B40" s="30" t="s">
        <v>1231</v>
      </c>
      <c r="C40" s="30"/>
      <c r="D40" s="30"/>
      <c r="E40" s="30"/>
      <c r="F40" s="30"/>
    </row>
    <row r="41" customFormat="false" ht="23.25" hidden="false" customHeight="true" outlineLevel="0" collapsed="false">
      <c r="A41" s="29" t="s">
        <v>648</v>
      </c>
      <c r="B41" s="30" t="s">
        <v>1232</v>
      </c>
      <c r="C41" s="30"/>
      <c r="D41" s="30"/>
      <c r="E41" s="30"/>
      <c r="F41" s="30"/>
    </row>
    <row r="42" customFormat="false" ht="15" hidden="false" customHeight="true" outlineLevel="0" collapsed="false">
      <c r="A42" s="29" t="s">
        <v>649</v>
      </c>
      <c r="B42" s="30" t="s">
        <v>1233</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771</v>
      </c>
      <c r="C44" s="30"/>
      <c r="D44" s="30"/>
      <c r="E44" s="30"/>
      <c r="F44" s="30"/>
    </row>
    <row r="45" customFormat="false" ht="15" hidden="false" customHeight="true" outlineLevel="0" collapsed="false">
      <c r="A45" s="29" t="s">
        <v>652</v>
      </c>
      <c r="B45" s="30" t="s">
        <v>1234</v>
      </c>
      <c r="C45" s="30"/>
      <c r="D45" s="30"/>
      <c r="E45" s="30"/>
      <c r="F45" s="30"/>
    </row>
    <row r="46" customFormat="false" ht="15" hidden="false" customHeight="true" outlineLevel="0" collapsed="false">
      <c r="A46" s="29" t="s">
        <v>653</v>
      </c>
      <c r="B46" s="30" t="s">
        <v>773</v>
      </c>
      <c r="C46" s="30"/>
      <c r="D46" s="30"/>
      <c r="E46" s="30"/>
      <c r="F46" s="30"/>
    </row>
    <row r="47" customFormat="false" ht="15" hidden="false" customHeight="true" outlineLevel="0" collapsed="false">
      <c r="A47" s="29" t="s">
        <v>654</v>
      </c>
      <c r="B47" s="30" t="s">
        <v>1235</v>
      </c>
      <c r="C47" s="30"/>
      <c r="D47" s="30"/>
      <c r="E47" s="30"/>
      <c r="F47" s="30"/>
    </row>
    <row r="48" customFormat="false" ht="23.25" hidden="false" customHeight="true" outlineLevel="0" collapsed="false">
      <c r="A48" s="29" t="s">
        <v>655</v>
      </c>
      <c r="B48" s="30" t="s">
        <v>1134</v>
      </c>
      <c r="C48" s="30"/>
      <c r="D48" s="30"/>
      <c r="E48" s="30"/>
      <c r="F48" s="30"/>
    </row>
    <row r="49" customFormat="false" ht="23.25" hidden="false" customHeight="true" outlineLevel="0" collapsed="false">
      <c r="A49" s="29" t="s">
        <v>656</v>
      </c>
      <c r="B49" s="30" t="s">
        <v>1236</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1237</v>
      </c>
      <c r="C52" s="30"/>
      <c r="D52" s="30"/>
      <c r="E52" s="30"/>
      <c r="F52" s="30"/>
    </row>
    <row r="53" customFormat="false" ht="15" hidden="false" customHeight="true" outlineLevel="0" collapsed="false">
      <c r="A53" s="29" t="s">
        <v>658</v>
      </c>
      <c r="B53" s="30" t="s">
        <v>1238</v>
      </c>
      <c r="C53" s="30"/>
      <c r="D53" s="30"/>
      <c r="E53" s="30"/>
      <c r="F53" s="30"/>
    </row>
    <row r="54" customFormat="false" ht="23.25" hidden="false" customHeight="true" outlineLevel="0" collapsed="false">
      <c r="A54" s="29" t="s">
        <v>659</v>
      </c>
      <c r="B54" s="30" t="s">
        <v>1239</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2231</v>
      </c>
      <c r="C57" s="30"/>
      <c r="D57" s="30"/>
      <c r="E57" s="30"/>
      <c r="F57" s="30"/>
    </row>
    <row r="58" customFormat="false" ht="15" hidden="false" customHeight="true" outlineLevel="0" collapsed="false">
      <c r="A58" s="29" t="s">
        <v>2229</v>
      </c>
      <c r="B58" s="30" t="s">
        <v>2228</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7"/>
      <c r="D62" s="27"/>
      <c r="E62" s="27"/>
      <c r="F62" s="27"/>
    </row>
    <row r="63" customFormat="false" ht="34.5" hidden="false" customHeight="true" outlineLevel="0" collapsed="false">
      <c r="A63" s="3" t="s">
        <v>1355</v>
      </c>
      <c r="B63" s="3" t="s">
        <v>1464</v>
      </c>
      <c r="C63" s="27"/>
      <c r="D63" s="27"/>
      <c r="E63" s="27"/>
      <c r="F63" s="27"/>
    </row>
    <row r="64" customFormat="false" ht="15" hidden="false" customHeight="true" outlineLevel="0" collapsed="false">
      <c r="A64" s="3" t="s">
        <v>1356</v>
      </c>
      <c r="B64" s="3" t="s">
        <v>128</v>
      </c>
      <c r="C64" s="27"/>
      <c r="D64" s="27"/>
      <c r="E64" s="27"/>
      <c r="F64" s="27"/>
    </row>
    <row r="65" customFormat="false" ht="57" hidden="false" customHeight="true" outlineLevel="0" collapsed="false">
      <c r="A65" s="3" t="s">
        <v>1357</v>
      </c>
      <c r="B65" s="3" t="s">
        <v>1465</v>
      </c>
      <c r="C65" s="27"/>
      <c r="D65" s="27"/>
      <c r="E65" s="27"/>
      <c r="F65" s="27"/>
    </row>
    <row r="66" customFormat="false" ht="23.25" hidden="false" customHeight="true" outlineLevel="0" collapsed="false">
      <c r="A66" s="3" t="s">
        <v>1358</v>
      </c>
      <c r="B66" s="3" t="s">
        <v>1466</v>
      </c>
      <c r="C66" s="27"/>
      <c r="D66" s="27"/>
      <c r="E66" s="27"/>
      <c r="F66" s="27"/>
    </row>
    <row r="67" customFormat="false" ht="23.25" hidden="false" customHeight="true" outlineLevel="0" collapsed="false">
      <c r="A67" s="3" t="s">
        <v>1359</v>
      </c>
      <c r="B67" s="3" t="s">
        <v>1467</v>
      </c>
      <c r="C67" s="27"/>
      <c r="D67" s="27"/>
      <c r="E67" s="27"/>
      <c r="F67" s="27"/>
    </row>
    <row r="68" customFormat="false" ht="68.25" hidden="false" customHeight="true" outlineLevel="0" collapsed="false">
      <c r="A68" s="3" t="s">
        <v>1360</v>
      </c>
      <c r="B68" s="3" t="s">
        <v>1468</v>
      </c>
      <c r="C68" s="27"/>
      <c r="D68" s="27"/>
      <c r="E68" s="27"/>
      <c r="F68" s="27"/>
    </row>
    <row r="69" customFormat="false" ht="68.25" hidden="false" customHeight="true" outlineLevel="0" collapsed="false">
      <c r="A69" s="3" t="s">
        <v>1361</v>
      </c>
      <c r="B69" s="3" t="s">
        <v>1469</v>
      </c>
      <c r="C69" s="27"/>
      <c r="D69" s="27"/>
      <c r="E69" s="27"/>
      <c r="F69" s="27"/>
    </row>
    <row r="70" customFormat="false" ht="45.75" hidden="false" customHeight="true" outlineLevel="0" collapsed="false">
      <c r="A70" s="3" t="s">
        <v>1362</v>
      </c>
      <c r="B70" s="3" t="s">
        <v>1470</v>
      </c>
      <c r="C70" s="27"/>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1241</v>
      </c>
      <c r="C73" s="30"/>
      <c r="D73" s="30"/>
      <c r="E73" s="30"/>
      <c r="F73" s="30"/>
    </row>
    <row r="74" customFormat="false" ht="15" hidden="false" customHeight="true" outlineLevel="0" collapsed="false">
      <c r="A74" s="29" t="s">
        <v>2238</v>
      </c>
      <c r="B74" s="30" t="s">
        <v>809</v>
      </c>
      <c r="C74" s="30"/>
      <c r="D74" s="30"/>
      <c r="E74" s="30"/>
      <c r="F74" s="30"/>
    </row>
    <row r="75" customFormat="false" ht="15" hidden="false" customHeight="true" outlineLevel="0" collapsed="false">
      <c r="A75" s="29" t="s">
        <v>1359</v>
      </c>
      <c r="B75" s="30" t="s">
        <v>809</v>
      </c>
      <c r="C75" s="30"/>
      <c r="D75" s="30"/>
      <c r="E75" s="30"/>
      <c r="F75" s="30"/>
    </row>
    <row r="76" customFormat="false" ht="23.25" hidden="false" customHeight="true" outlineLevel="0" collapsed="false">
      <c r="A76" s="29" t="s">
        <v>2239</v>
      </c>
      <c r="B76" s="30" t="s">
        <v>1242</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79.5" hidden="false" customHeight="true" outlineLevel="0" collapsed="false">
      <c r="A79" s="29" t="s">
        <v>669</v>
      </c>
      <c r="B79" s="30" t="s">
        <v>1243</v>
      </c>
      <c r="C79" s="30"/>
      <c r="D79" s="30"/>
      <c r="E79" s="30"/>
      <c r="F79" s="30"/>
    </row>
    <row r="80" customFormat="false" ht="90.75" hidden="false" customHeight="true" outlineLevel="0" collapsed="false">
      <c r="A80" s="29" t="s">
        <v>670</v>
      </c>
      <c r="B80" s="30" t="s">
        <v>1244</v>
      </c>
      <c r="C80" s="30"/>
      <c r="D80" s="30"/>
      <c r="E80" s="30"/>
      <c r="F80" s="30"/>
    </row>
    <row r="81" customFormat="false" ht="79.5" hidden="false" customHeight="true" outlineLevel="0" collapsed="false">
      <c r="A81" s="29" t="s">
        <v>671</v>
      </c>
      <c r="B81" s="30" t="s">
        <v>1245</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15" hidden="false" customHeight="true" outlineLevel="0" collapsed="false">
      <c r="A85" s="3" t="s">
        <v>2245</v>
      </c>
      <c r="B85" s="3" t="s">
        <v>809</v>
      </c>
      <c r="C85" s="3" t="s">
        <v>2250</v>
      </c>
      <c r="D85" s="27"/>
      <c r="E85" s="27"/>
      <c r="F85" s="27"/>
    </row>
    <row r="86" customFormat="false" ht="23.25" hidden="false" customHeight="true" outlineLevel="0" collapsed="false">
      <c r="A86" s="3" t="s">
        <v>2289</v>
      </c>
      <c r="B86" s="3" t="s">
        <v>809</v>
      </c>
      <c r="C86" s="3" t="s">
        <v>2250</v>
      </c>
      <c r="D86" s="27"/>
      <c r="E86" s="27"/>
      <c r="F86" s="27"/>
    </row>
    <row r="87" customFormat="false" ht="23.25" hidden="false" customHeight="true" outlineLevel="0" collapsed="false">
      <c r="A87" s="3" t="s">
        <v>2248</v>
      </c>
      <c r="B87" s="3" t="s">
        <v>809</v>
      </c>
      <c r="C87" s="3" t="s">
        <v>2250</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15" hidden="false" customHeight="true" outlineLevel="0" collapsed="false">
      <c r="A92" s="3" t="s">
        <v>2254</v>
      </c>
      <c r="B92" s="3" t="s">
        <v>809</v>
      </c>
      <c r="C92" s="3" t="s">
        <v>2250</v>
      </c>
      <c r="D92" s="27"/>
      <c r="E92" s="27"/>
      <c r="F92" s="27"/>
    </row>
    <row r="93" customFormat="false" ht="45.75" hidden="false" customHeight="true" outlineLevel="0" collapsed="false">
      <c r="A93" s="3" t="s">
        <v>2255</v>
      </c>
      <c r="B93" s="3" t="s">
        <v>1246</v>
      </c>
      <c r="C93" s="3" t="s">
        <v>2250</v>
      </c>
      <c r="D93" s="27"/>
      <c r="E93" s="27"/>
      <c r="F93" s="27"/>
    </row>
    <row r="94" customFormat="false" ht="15" hidden="false" customHeight="true" outlineLevel="0" collapsed="false">
      <c r="A94" s="3" t="s">
        <v>2256</v>
      </c>
      <c r="B94" s="3" t="s">
        <v>809</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15" hidden="false" customHeight="true" outlineLevel="0" collapsed="false">
      <c r="A96" s="3" t="s">
        <v>2258</v>
      </c>
      <c r="B96" s="3" t="s">
        <v>809</v>
      </c>
      <c r="C96" s="3" t="s">
        <v>2250</v>
      </c>
      <c r="D96" s="27"/>
      <c r="E96" s="27"/>
      <c r="F96" s="27"/>
    </row>
    <row r="97" customFormat="false" ht="23.25" hidden="false" customHeight="true" outlineLevel="0" collapsed="false">
      <c r="A97" s="3" t="s">
        <v>2259</v>
      </c>
      <c r="B97" s="3" t="s">
        <v>1247</v>
      </c>
      <c r="C97" s="3" t="s">
        <v>2250</v>
      </c>
      <c r="D97" s="27"/>
      <c r="E97" s="27"/>
      <c r="F97" s="27"/>
    </row>
    <row r="98" customFormat="false" ht="68.25" hidden="false" customHeight="true" outlineLevel="0" collapsed="false">
      <c r="A98" s="3" t="s">
        <v>2260</v>
      </c>
      <c r="B98" s="3" t="s">
        <v>1248</v>
      </c>
      <c r="C98" s="3" t="s">
        <v>2250</v>
      </c>
      <c r="D98" s="27"/>
      <c r="E98" s="27"/>
      <c r="F98" s="27"/>
    </row>
    <row r="99" customFormat="false" ht="57" hidden="false" customHeight="true" outlineLevel="0" collapsed="false">
      <c r="A99" s="3" t="s">
        <v>2261</v>
      </c>
      <c r="B99" s="3" t="s">
        <v>1249</v>
      </c>
      <c r="C99" s="3" t="s">
        <v>2246</v>
      </c>
      <c r="D99" s="27"/>
      <c r="E99" s="27"/>
      <c r="F99" s="27"/>
    </row>
    <row r="100" customFormat="false" ht="68.25" hidden="false" customHeight="true" outlineLevel="0" collapsed="false">
      <c r="A100" s="3" t="s">
        <v>2262</v>
      </c>
      <c r="B100" s="3" t="s">
        <v>1250</v>
      </c>
      <c r="C100" s="3" t="s">
        <v>2246</v>
      </c>
      <c r="D100" s="27"/>
      <c r="E100" s="27"/>
      <c r="F100" s="27"/>
    </row>
    <row r="101" customFormat="false" ht="45.75" hidden="false" customHeight="true" outlineLevel="0" collapsed="false">
      <c r="A101" s="26" t="s">
        <v>1251</v>
      </c>
      <c r="B101" s="27"/>
      <c r="C101" s="27"/>
      <c r="D101" s="27"/>
      <c r="E101" s="27"/>
      <c r="F101" s="27"/>
    </row>
    <row r="102" customFormat="false" ht="15" hidden="false" customHeight="true" outlineLevel="0" collapsed="false">
      <c r="A102" s="27"/>
      <c r="B102" s="27"/>
      <c r="C102" s="27"/>
      <c r="D102" s="27"/>
      <c r="E102" s="27"/>
      <c r="F102" s="27"/>
    </row>
    <row r="103" customFormat="false" ht="15" hidden="false" customHeight="true" outlineLevel="0" collapsed="false">
      <c r="A103" s="28" t="s">
        <v>2263</v>
      </c>
      <c r="B103" s="28"/>
      <c r="C103" s="28"/>
      <c r="D103" s="28"/>
      <c r="E103" s="28"/>
      <c r="F103" s="28"/>
    </row>
    <row r="104" customFormat="false" ht="15" hidden="false" customHeight="true" outlineLevel="0" collapsed="false">
      <c r="A104" s="29" t="s">
        <v>2264</v>
      </c>
      <c r="B104" s="29" t="s">
        <v>2265</v>
      </c>
      <c r="C104" s="29" t="s">
        <v>2244</v>
      </c>
      <c r="D104" s="27"/>
      <c r="E104" s="27"/>
      <c r="F104" s="27"/>
    </row>
    <row r="105" customFormat="false" ht="15" hidden="false" customHeight="true" outlineLevel="0" collapsed="false">
      <c r="A105" s="3" t="s">
        <v>2266</v>
      </c>
      <c r="B105" s="3" t="s">
        <v>809</v>
      </c>
      <c r="C105" s="3" t="s">
        <v>2250</v>
      </c>
      <c r="D105" s="27"/>
      <c r="E105" s="27"/>
      <c r="F105" s="27"/>
    </row>
    <row r="106" customFormat="false" ht="15" hidden="false" customHeight="true" outlineLevel="0" collapsed="false">
      <c r="A106" s="3" t="s">
        <v>2267</v>
      </c>
      <c r="B106" s="3" t="s">
        <v>809</v>
      </c>
      <c r="C106" s="3" t="s">
        <v>2250</v>
      </c>
      <c r="D106" s="27"/>
      <c r="E106" s="27"/>
      <c r="F106" s="27"/>
    </row>
    <row r="107" customFormat="false" ht="15" hidden="false" customHeight="true" outlineLevel="0" collapsed="false">
      <c r="A107" s="3" t="s">
        <v>2268</v>
      </c>
      <c r="B107" s="3" t="s">
        <v>809</v>
      </c>
      <c r="C107" s="3" t="s">
        <v>2250</v>
      </c>
      <c r="D107" s="27"/>
      <c r="E107" s="27"/>
      <c r="F107" s="27"/>
    </row>
    <row r="108" customFormat="false" ht="15" hidden="false" customHeight="true" outlineLevel="0" collapsed="false">
      <c r="A108" s="3" t="s">
        <v>2269</v>
      </c>
      <c r="B108" s="3" t="s">
        <v>809</v>
      </c>
      <c r="C108" s="3" t="s">
        <v>2250</v>
      </c>
      <c r="D108" s="27"/>
      <c r="E108" s="27"/>
      <c r="F108" s="27"/>
    </row>
    <row r="109" customFormat="false" ht="34.5" hidden="false" customHeight="true" outlineLevel="0" collapsed="false">
      <c r="A109" s="3" t="s">
        <v>2270</v>
      </c>
      <c r="B109" s="3" t="s">
        <v>1252</v>
      </c>
      <c r="C109" s="3" t="s">
        <v>2250</v>
      </c>
      <c r="D109" s="27"/>
      <c r="E109" s="27"/>
      <c r="F109" s="27"/>
    </row>
    <row r="110" customFormat="false" ht="15" hidden="false" customHeight="true" outlineLevel="0" collapsed="false">
      <c r="A110" s="3" t="s">
        <v>2271</v>
      </c>
      <c r="B110" s="3" t="s">
        <v>1253</v>
      </c>
      <c r="C110" s="3" t="s">
        <v>2250</v>
      </c>
      <c r="D110" s="27"/>
      <c r="E110" s="27"/>
      <c r="F110" s="27"/>
    </row>
    <row r="111" customFormat="false" ht="23.25" hidden="false" customHeight="true" outlineLevel="0" collapsed="false">
      <c r="A111" s="3" t="s">
        <v>2272</v>
      </c>
      <c r="B111" s="3" t="s">
        <v>809</v>
      </c>
      <c r="C111" s="3" t="s">
        <v>2250</v>
      </c>
      <c r="D111" s="27"/>
      <c r="E111" s="27"/>
      <c r="F111" s="27"/>
    </row>
    <row r="112" customFormat="false" ht="15" hidden="false" customHeight="true" outlineLevel="0" collapsed="false">
      <c r="A112" s="3" t="s">
        <v>2273</v>
      </c>
      <c r="B112" s="3" t="s">
        <v>858</v>
      </c>
      <c r="C112" s="3" t="s">
        <v>2250</v>
      </c>
      <c r="D112" s="27"/>
      <c r="E112" s="27"/>
      <c r="F112" s="27"/>
    </row>
    <row r="113" customFormat="false" ht="23.25" hidden="false" customHeight="true" outlineLevel="0" collapsed="false">
      <c r="A113" s="3" t="s">
        <v>2274</v>
      </c>
      <c r="B113" s="3" t="s">
        <v>1254</v>
      </c>
      <c r="C113" s="3" t="s">
        <v>2246</v>
      </c>
      <c r="D113" s="27"/>
      <c r="E113" s="27"/>
      <c r="F113" s="27"/>
    </row>
    <row r="114" customFormat="false" ht="15" hidden="false" customHeight="true" outlineLevel="0" collapsed="false">
      <c r="A114" s="3" t="s">
        <v>2275</v>
      </c>
      <c r="B114" s="3" t="s">
        <v>809</v>
      </c>
      <c r="C114" s="3" t="s">
        <v>2250</v>
      </c>
      <c r="D114" s="27"/>
      <c r="E114" s="27"/>
      <c r="F114" s="27"/>
    </row>
    <row r="115" customFormat="false" ht="15" hidden="false" customHeight="true" outlineLevel="0" collapsed="false">
      <c r="A115" s="27"/>
      <c r="B115" s="27"/>
      <c r="C115" s="27"/>
      <c r="D115" s="27"/>
      <c r="E115" s="27"/>
      <c r="F115" s="27"/>
    </row>
    <row r="116" customFormat="false" ht="15" hidden="false" customHeight="true" outlineLevel="0" collapsed="false">
      <c r="A116" s="28" t="s">
        <v>2276</v>
      </c>
      <c r="B116" s="28"/>
      <c r="C116" s="28"/>
      <c r="D116" s="28"/>
      <c r="E116" s="28"/>
      <c r="F116" s="28"/>
    </row>
    <row r="117" customFormat="false" ht="15" hidden="false" customHeight="true" outlineLevel="0" collapsed="false">
      <c r="A117" s="29" t="s">
        <v>2277</v>
      </c>
      <c r="B117" s="29" t="s">
        <v>2278</v>
      </c>
      <c r="C117" s="29" t="s">
        <v>24</v>
      </c>
      <c r="D117" s="27"/>
      <c r="E117" s="27"/>
      <c r="F117" s="27"/>
    </row>
    <row r="118" customFormat="false" ht="23.25" hidden="false" customHeight="true" outlineLevel="0" collapsed="false">
      <c r="A118" s="3" t="s">
        <v>2279</v>
      </c>
      <c r="B118" s="3" t="s">
        <v>1255</v>
      </c>
      <c r="C118" s="3" t="s">
        <v>797</v>
      </c>
      <c r="D118" s="27"/>
      <c r="E118" s="27"/>
      <c r="F118" s="27"/>
    </row>
    <row r="119" customFormat="false" ht="23.25" hidden="false" customHeight="true" outlineLevel="0" collapsed="false">
      <c r="A119" s="3" t="s">
        <v>2280</v>
      </c>
      <c r="B119" s="3" t="s">
        <v>1256</v>
      </c>
      <c r="C119" s="3" t="s">
        <v>797</v>
      </c>
      <c r="D119" s="27"/>
      <c r="E119" s="27"/>
      <c r="F119" s="27"/>
    </row>
    <row r="120" customFormat="false" ht="23.25" hidden="false" customHeight="true" outlineLevel="0" collapsed="false">
      <c r="A120" s="3" t="s">
        <v>2281</v>
      </c>
      <c r="B120" s="3" t="s">
        <v>1257</v>
      </c>
      <c r="C120" s="3" t="s">
        <v>797</v>
      </c>
      <c r="D120" s="27"/>
      <c r="E120" s="27"/>
      <c r="F120" s="27"/>
    </row>
    <row r="121" customFormat="false" ht="34.5" hidden="false" customHeight="true" outlineLevel="0" collapsed="false">
      <c r="A121" s="3" t="s">
        <v>2227</v>
      </c>
      <c r="B121" s="3" t="s">
        <v>1258</v>
      </c>
      <c r="C121" s="3" t="s">
        <v>804</v>
      </c>
      <c r="D121" s="27"/>
      <c r="E121" s="27"/>
      <c r="F121" s="27"/>
    </row>
    <row r="122" customFormat="false" ht="34.5" hidden="false" customHeight="true" outlineLevel="0" collapsed="false">
      <c r="A122" s="3" t="s">
        <v>2229</v>
      </c>
      <c r="B122" s="3" t="s">
        <v>1259</v>
      </c>
      <c r="C122" s="3" t="s">
        <v>801</v>
      </c>
      <c r="D122" s="27"/>
      <c r="E122" s="27"/>
      <c r="F122" s="27"/>
    </row>
    <row r="123" customFormat="false" ht="23.25" hidden="false" customHeight="true" outlineLevel="0" collapsed="false">
      <c r="A123" s="3" t="s">
        <v>2230</v>
      </c>
      <c r="B123" s="3" t="s">
        <v>1260</v>
      </c>
      <c r="C123" s="3" t="s">
        <v>804</v>
      </c>
      <c r="D123" s="27"/>
      <c r="E123" s="27"/>
      <c r="F123" s="27"/>
    </row>
    <row r="124" customFormat="false" ht="34.5" hidden="false" customHeight="true" outlineLevel="0" collapsed="false">
      <c r="A124" s="3" t="s">
        <v>2282</v>
      </c>
      <c r="B124" s="3" t="s">
        <v>1261</v>
      </c>
      <c r="C124" s="3" t="s">
        <v>797</v>
      </c>
      <c r="D124" s="27"/>
      <c r="E124" s="27"/>
      <c r="F124" s="27"/>
    </row>
    <row r="125" customFormat="false" ht="15" hidden="false" customHeight="true" outlineLevel="0" collapsed="false">
      <c r="A125" s="3" t="s">
        <v>2283</v>
      </c>
      <c r="B125" s="3" t="s">
        <v>1262</v>
      </c>
      <c r="C125" s="3" t="s">
        <v>746</v>
      </c>
      <c r="D125" s="27"/>
      <c r="E125" s="27"/>
      <c r="F125" s="27"/>
    </row>
    <row r="126" customFormat="false" ht="15" hidden="false" customHeight="true" outlineLevel="0" collapsed="false">
      <c r="A126" s="3" t="s">
        <v>2284</v>
      </c>
      <c r="B126" s="3" t="s">
        <v>809</v>
      </c>
      <c r="C126" s="3" t="s">
        <v>867</v>
      </c>
      <c r="D126" s="27"/>
      <c r="E126" s="27"/>
      <c r="F126" s="27"/>
    </row>
    <row r="127" customFormat="false" ht="15" hidden="false" customHeight="true" outlineLevel="0" collapsed="false">
      <c r="A127" s="27"/>
      <c r="B127" s="27"/>
      <c r="C127" s="27"/>
      <c r="D127" s="27"/>
      <c r="E127" s="27"/>
      <c r="F127" s="27"/>
    </row>
    <row r="128" customFormat="false" ht="15" hidden="false" customHeight="true" outlineLevel="0" collapsed="false">
      <c r="A128" s="28" t="s">
        <v>2285</v>
      </c>
      <c r="B128" s="28"/>
      <c r="C128" s="28"/>
      <c r="D128" s="28"/>
      <c r="E128" s="28"/>
      <c r="F128" s="28"/>
    </row>
    <row r="129" customFormat="false" ht="15" hidden="false" customHeight="true" outlineLevel="0" collapsed="false">
      <c r="A129" s="29" t="s">
        <v>1553</v>
      </c>
      <c r="B129" s="29" t="s">
        <v>1554</v>
      </c>
      <c r="C129" s="29" t="s">
        <v>1555</v>
      </c>
      <c r="D129" s="29" t="s">
        <v>1556</v>
      </c>
      <c r="E129" s="29" t="s">
        <v>1557</v>
      </c>
      <c r="F129" s="27"/>
    </row>
    <row r="130" customFormat="false" ht="45.75" hidden="false" customHeight="true" outlineLevel="0" collapsed="false">
      <c r="A130" s="3" t="s">
        <v>1558</v>
      </c>
      <c r="B130" s="3" t="s">
        <v>1976</v>
      </c>
      <c r="C130" s="3" t="s">
        <v>1977</v>
      </c>
      <c r="D130" s="3" t="s">
        <v>1978</v>
      </c>
      <c r="E130" s="3" t="s">
        <v>1979</v>
      </c>
      <c r="F130" s="27"/>
    </row>
    <row r="131" customFormat="false" ht="23.25" hidden="false" customHeight="true" outlineLevel="0" collapsed="false">
      <c r="A131" s="3" t="s">
        <v>1558</v>
      </c>
      <c r="B131" s="3" t="s">
        <v>1980</v>
      </c>
      <c r="C131" s="3" t="s">
        <v>1981</v>
      </c>
      <c r="D131" s="3" t="s">
        <v>1982</v>
      </c>
      <c r="E131" s="3" t="s">
        <v>1983</v>
      </c>
      <c r="F131" s="27"/>
    </row>
    <row r="132" customFormat="false" ht="23.25" hidden="false" customHeight="true" outlineLevel="0" collapsed="false">
      <c r="A132" s="3" t="s">
        <v>1558</v>
      </c>
      <c r="B132" s="3" t="s">
        <v>1984</v>
      </c>
      <c r="C132" s="3" t="s">
        <v>1981</v>
      </c>
      <c r="D132" s="3" t="s">
        <v>1985</v>
      </c>
      <c r="E132" s="3" t="s">
        <v>1986</v>
      </c>
      <c r="F132" s="27"/>
    </row>
    <row r="133" customFormat="false" ht="45.75" hidden="false" customHeight="true" outlineLevel="0" collapsed="false">
      <c r="A133" s="3" t="s">
        <v>1558</v>
      </c>
      <c r="B133" s="3" t="s">
        <v>1987</v>
      </c>
      <c r="C133" s="3" t="s">
        <v>1988</v>
      </c>
      <c r="D133" s="3" t="s">
        <v>1989</v>
      </c>
      <c r="E133" s="3" t="s">
        <v>1990</v>
      </c>
      <c r="F133" s="27"/>
    </row>
    <row r="134" customFormat="false" ht="23.25" hidden="false" customHeight="true" outlineLevel="0" collapsed="false">
      <c r="A134" s="3" t="s">
        <v>1558</v>
      </c>
      <c r="B134" s="3" t="s">
        <v>1991</v>
      </c>
      <c r="C134" s="3" t="s">
        <v>1981</v>
      </c>
      <c r="D134" s="3" t="s">
        <v>1992</v>
      </c>
      <c r="E134" s="3" t="s">
        <v>1993</v>
      </c>
      <c r="F134" s="27"/>
    </row>
    <row r="135" customFormat="false" ht="23.25" hidden="false" customHeight="true" outlineLevel="0" collapsed="false">
      <c r="A135" s="3" t="s">
        <v>1558</v>
      </c>
      <c r="B135" s="3" t="s">
        <v>1994</v>
      </c>
      <c r="C135" s="3" t="s">
        <v>1995</v>
      </c>
      <c r="D135" s="3" t="s">
        <v>1996</v>
      </c>
      <c r="E135" s="3" t="s">
        <v>1997</v>
      </c>
      <c r="F135" s="27"/>
    </row>
    <row r="136" customFormat="false" ht="23.25" hidden="false" customHeight="true" outlineLevel="0" collapsed="false">
      <c r="A136" s="3" t="s">
        <v>1596</v>
      </c>
      <c r="B136" s="3" t="s">
        <v>1998</v>
      </c>
      <c r="C136" s="3" t="s">
        <v>1999</v>
      </c>
      <c r="D136" s="3" t="s">
        <v>2000</v>
      </c>
      <c r="E136" s="3" t="s">
        <v>129</v>
      </c>
      <c r="F136" s="27"/>
    </row>
    <row r="137" customFormat="false" ht="34.5" hidden="false" customHeight="true" outlineLevel="0" collapsed="false">
      <c r="A137" s="3" t="s">
        <v>1596</v>
      </c>
      <c r="B137" s="3" t="s">
        <v>2001</v>
      </c>
      <c r="C137" s="3" t="s">
        <v>2002</v>
      </c>
      <c r="D137" s="3" t="s">
        <v>2000</v>
      </c>
      <c r="E137" s="3" t="s">
        <v>2003</v>
      </c>
      <c r="F137" s="27"/>
    </row>
    <row r="138" customFormat="false" ht="34.5" hidden="false" customHeight="true" outlineLevel="0" collapsed="false">
      <c r="A138" s="3" t="s">
        <v>1596</v>
      </c>
      <c r="B138" s="3" t="s">
        <v>2004</v>
      </c>
      <c r="C138" s="3" t="s">
        <v>2005</v>
      </c>
      <c r="D138" s="3" t="s">
        <v>2000</v>
      </c>
      <c r="E138" s="3" t="s">
        <v>2006</v>
      </c>
      <c r="F138" s="27"/>
    </row>
    <row r="139" customFormat="false" ht="34.5" hidden="false" customHeight="true" outlineLevel="0" collapsed="false">
      <c r="A139" s="3" t="s">
        <v>1596</v>
      </c>
      <c r="B139" s="3" t="s">
        <v>2007</v>
      </c>
      <c r="C139" s="3" t="s">
        <v>2005</v>
      </c>
      <c r="D139" s="3" t="s">
        <v>2008</v>
      </c>
      <c r="E139" s="3" t="s">
        <v>2009</v>
      </c>
      <c r="F139" s="27"/>
    </row>
    <row r="140" customFormat="false" ht="45.75" hidden="false" customHeight="true" outlineLevel="0" collapsed="false">
      <c r="A140" s="3" t="s">
        <v>1596</v>
      </c>
      <c r="B140" s="3" t="s">
        <v>2010</v>
      </c>
      <c r="C140" s="3" t="s">
        <v>2011</v>
      </c>
      <c r="D140" s="3" t="s">
        <v>2008</v>
      </c>
      <c r="E140" s="3" t="s">
        <v>2012</v>
      </c>
      <c r="F140" s="27"/>
    </row>
    <row r="141" customFormat="false" ht="34.5" hidden="false" customHeight="true" outlineLevel="0" collapsed="false">
      <c r="A141" s="3" t="s">
        <v>1596</v>
      </c>
      <c r="B141" s="3" t="s">
        <v>2013</v>
      </c>
      <c r="C141" s="3" t="s">
        <v>2014</v>
      </c>
      <c r="D141" s="3" t="s">
        <v>2008</v>
      </c>
      <c r="E141" s="3" t="s">
        <v>2015</v>
      </c>
      <c r="F141" s="27"/>
    </row>
    <row r="142" customFormat="false" ht="34.5" hidden="false" customHeight="true" outlineLevel="0" collapsed="false">
      <c r="A142" s="3" t="s">
        <v>1596</v>
      </c>
      <c r="B142" s="3" t="s">
        <v>2016</v>
      </c>
      <c r="C142" s="3" t="s">
        <v>1999</v>
      </c>
      <c r="D142" s="3" t="s">
        <v>2017</v>
      </c>
      <c r="E142" s="3" t="s">
        <v>2018</v>
      </c>
      <c r="F142" s="27"/>
    </row>
    <row r="143" customFormat="false" ht="34.5" hidden="false" customHeight="true" outlineLevel="0" collapsed="false">
      <c r="A143" s="3" t="s">
        <v>1596</v>
      </c>
      <c r="B143" s="3" t="s">
        <v>2019</v>
      </c>
      <c r="C143" s="3" t="s">
        <v>2020</v>
      </c>
      <c r="D143" s="3" t="s">
        <v>2021</v>
      </c>
      <c r="E143" s="3" t="s">
        <v>2022</v>
      </c>
      <c r="F143" s="27"/>
    </row>
    <row r="144" customFormat="false" ht="15" hidden="false" customHeight="true" outlineLevel="0" collapsed="false">
      <c r="A144" s="3" t="s">
        <v>1596</v>
      </c>
      <c r="B144" s="3" t="s">
        <v>2023</v>
      </c>
      <c r="C144" s="3" t="s">
        <v>2024</v>
      </c>
      <c r="D144" s="3" t="s">
        <v>2025</v>
      </c>
      <c r="E144" s="3" t="s">
        <v>2026</v>
      </c>
      <c r="F144" s="27"/>
    </row>
    <row r="145" customFormat="false" ht="23.25" hidden="false" customHeight="true" outlineLevel="0" collapsed="false">
      <c r="A145" s="3" t="s">
        <v>1596</v>
      </c>
      <c r="B145" s="3" t="s">
        <v>2027</v>
      </c>
      <c r="C145" s="3" t="s">
        <v>2024</v>
      </c>
      <c r="D145" s="3" t="s">
        <v>2028</v>
      </c>
      <c r="E145" s="3" t="s">
        <v>2029</v>
      </c>
      <c r="F145" s="27"/>
    </row>
    <row r="146" customFormat="false" ht="23.25" hidden="false" customHeight="true" outlineLevel="0" collapsed="false">
      <c r="A146" s="3" t="s">
        <v>1596</v>
      </c>
      <c r="B146" s="3" t="s">
        <v>2030</v>
      </c>
      <c r="C146" s="3" t="s">
        <v>2024</v>
      </c>
      <c r="D146" s="3" t="s">
        <v>2031</v>
      </c>
      <c r="E146" s="3" t="s">
        <v>2032</v>
      </c>
      <c r="F146" s="27"/>
    </row>
    <row r="147" customFormat="false" ht="23.25" hidden="false" customHeight="true" outlineLevel="0" collapsed="false">
      <c r="A147" s="3" t="s">
        <v>1596</v>
      </c>
      <c r="B147" s="3" t="s">
        <v>2033</v>
      </c>
      <c r="C147" s="3" t="s">
        <v>2024</v>
      </c>
      <c r="D147" s="3" t="s">
        <v>2034</v>
      </c>
      <c r="E147" s="3" t="s">
        <v>2035</v>
      </c>
      <c r="F147" s="27"/>
    </row>
    <row r="148" customFormat="false" ht="34.5" hidden="false" customHeight="true" outlineLevel="0" collapsed="false">
      <c r="A148" s="3" t="s">
        <v>2036</v>
      </c>
      <c r="B148" s="3" t="s">
        <v>2037</v>
      </c>
      <c r="C148" s="3" t="s">
        <v>2038</v>
      </c>
      <c r="D148" s="3" t="s">
        <v>2039</v>
      </c>
      <c r="E148" s="3" t="s">
        <v>2040</v>
      </c>
      <c r="F148" s="27"/>
    </row>
    <row r="149" customFormat="false" ht="34.5" hidden="false" customHeight="true" outlineLevel="0" collapsed="false">
      <c r="A149" s="3" t="s">
        <v>1729</v>
      </c>
      <c r="B149" s="3" t="s">
        <v>2041</v>
      </c>
      <c r="C149" s="3" t="s">
        <v>809</v>
      </c>
      <c r="D149" s="3" t="s">
        <v>809</v>
      </c>
      <c r="E149" s="3" t="s">
        <v>2042</v>
      </c>
      <c r="F149" s="27"/>
    </row>
    <row r="150" customFormat="false" ht="15" hidden="false" customHeight="true" outlineLevel="0" collapsed="false">
      <c r="A150" s="27"/>
      <c r="B150" s="27"/>
      <c r="C150" s="27"/>
      <c r="D150" s="27"/>
      <c r="E150" s="27"/>
      <c r="F150" s="27"/>
    </row>
    <row r="151" customFormat="false" ht="15" hidden="false" customHeight="true" outlineLevel="0" collapsed="false">
      <c r="A151" s="28" t="s">
        <v>744</v>
      </c>
      <c r="B151" s="28"/>
      <c r="C151" s="28"/>
      <c r="D151" s="28"/>
      <c r="E151" s="28"/>
      <c r="F151" s="28"/>
    </row>
    <row r="152" customFormat="false" ht="15" hidden="false" customHeight="true" outlineLevel="0" collapsed="false">
      <c r="A152" s="29" t="s">
        <v>2265</v>
      </c>
      <c r="B152" s="30" t="s">
        <v>1263</v>
      </c>
      <c r="C152" s="30"/>
      <c r="D152" s="30"/>
      <c r="E152" s="30"/>
      <c r="F152"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1:F151"/>
    <mergeCell ref="B152:F1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75" hidden="false" customHeight="true" outlineLevel="0" collapsed="false">
      <c r="A1" s="25" t="s">
        <v>2311</v>
      </c>
    </row>
    <row r="2" customFormat="false" ht="23.25" hidden="false" customHeight="true" outlineLevel="0" collapsed="false">
      <c r="A2" s="26" t="s">
        <v>1265</v>
      </c>
      <c r="B2" s="27"/>
      <c r="C2" s="27"/>
      <c r="D2" s="27"/>
      <c r="E2" s="27"/>
      <c r="F2" s="27"/>
    </row>
    <row r="3" customFormat="false" ht="34.5" hidden="false" customHeight="true" outlineLevel="0" collapsed="false">
      <c r="A3" s="4" t="s">
        <v>1264</v>
      </c>
      <c r="B3" s="27"/>
      <c r="C3" s="27"/>
      <c r="D3" s="27"/>
      <c r="E3" s="27"/>
      <c r="F3" s="27"/>
    </row>
    <row r="4" customFormat="false" ht="45.75" hidden="false" customHeight="true" outlineLevel="0" collapsed="false">
      <c r="A4" s="3" t="s">
        <v>2307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1266</v>
      </c>
      <c r="C7" s="30"/>
      <c r="D7" s="30"/>
      <c r="E7" s="30"/>
      <c r="F7" s="30"/>
    </row>
    <row r="8" customFormat="false" ht="15" hidden="false" customHeight="true" outlineLevel="0" collapsed="false">
      <c r="A8" s="29" t="s">
        <v>2156</v>
      </c>
      <c r="B8" s="30" t="s">
        <v>134</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3.25" hidden="false" customHeight="true" outlineLevel="0" collapsed="false">
      <c r="A12" s="29" t="s">
        <v>2160</v>
      </c>
      <c r="B12" s="30" t="s">
        <v>2187</v>
      </c>
      <c r="C12" s="30"/>
      <c r="D12" s="30"/>
      <c r="E12" s="30"/>
      <c r="F12" s="30"/>
    </row>
    <row r="13" customFormat="false" ht="45.75" hidden="false" customHeight="true" outlineLevel="0" collapsed="false">
      <c r="A13" s="29" t="s">
        <v>2161</v>
      </c>
      <c r="B13" s="30" t="s">
        <v>2188</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132</v>
      </c>
      <c r="C16" s="30"/>
      <c r="D16" s="30"/>
      <c r="E16" s="30"/>
      <c r="F16" s="30"/>
    </row>
    <row r="17" customFormat="false" ht="15" hidden="false" customHeight="true" outlineLevel="0" collapsed="false">
      <c r="A17" s="29" t="s">
        <v>627</v>
      </c>
      <c r="B17" s="30" t="s">
        <v>1266</v>
      </c>
      <c r="C17" s="30"/>
      <c r="D17" s="30"/>
      <c r="E17" s="30"/>
      <c r="F17" s="30"/>
    </row>
    <row r="18" customFormat="false" ht="15" hidden="false" customHeight="true" outlineLevel="0" collapsed="false">
      <c r="A18" s="29" t="s">
        <v>628</v>
      </c>
      <c r="B18" s="30" t="s">
        <v>1267</v>
      </c>
      <c r="C18" s="30"/>
      <c r="D18" s="30"/>
      <c r="E18" s="30"/>
      <c r="F18" s="30"/>
    </row>
    <row r="19" customFormat="false" ht="15" hidden="false" customHeight="true" outlineLevel="0" collapsed="false">
      <c r="A19" s="29" t="s">
        <v>629</v>
      </c>
      <c r="B19" s="30" t="s">
        <v>1094</v>
      </c>
      <c r="C19" s="30"/>
      <c r="D19" s="30"/>
      <c r="E19" s="30"/>
      <c r="F19" s="30"/>
    </row>
    <row r="20" customFormat="false" ht="15" hidden="false" customHeight="true" outlineLevel="0" collapsed="false">
      <c r="A20" s="29" t="s">
        <v>630</v>
      </c>
      <c r="B20" s="30" t="s">
        <v>1268</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0" t="s">
        <v>133</v>
      </c>
      <c r="C25" s="30"/>
      <c r="D25" s="30"/>
      <c r="E25" s="30"/>
      <c r="F25" s="30"/>
    </row>
    <row r="26" customFormat="false" ht="15" hidden="false" customHeight="true" outlineLevel="0" collapsed="false">
      <c r="A26" s="29" t="s">
        <v>635</v>
      </c>
      <c r="B26" s="30" t="s">
        <v>1269</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1270</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1271</v>
      </c>
      <c r="C31" s="30"/>
      <c r="D31" s="30"/>
      <c r="E31" s="30"/>
      <c r="F31" s="30"/>
    </row>
    <row r="32" customFormat="false" ht="15" hidden="false" customHeight="true" outlineLevel="0" collapsed="false">
      <c r="A32" s="29" t="s">
        <v>641</v>
      </c>
      <c r="B32" s="30" t="s">
        <v>1272</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1273</v>
      </c>
      <c r="C36" s="30"/>
      <c r="D36" s="30"/>
      <c r="E36" s="30"/>
      <c r="F36" s="30"/>
    </row>
    <row r="37" customFormat="false" ht="15" hidden="false" customHeight="true" outlineLevel="0" collapsed="false">
      <c r="A37" s="29" t="s">
        <v>644</v>
      </c>
      <c r="B37" s="30" t="s">
        <v>1274</v>
      </c>
      <c r="C37" s="30"/>
      <c r="D37" s="30"/>
      <c r="E37" s="30"/>
      <c r="F37" s="30"/>
    </row>
    <row r="38" customFormat="false" ht="15" hidden="false" customHeight="true" outlineLevel="0" collapsed="false">
      <c r="A38" s="29" t="s">
        <v>645</v>
      </c>
      <c r="B38" s="30" t="s">
        <v>1275</v>
      </c>
      <c r="C38" s="30"/>
      <c r="D38" s="30"/>
      <c r="E38" s="30"/>
      <c r="F38" s="30"/>
    </row>
    <row r="39" customFormat="false" ht="23.25" hidden="false" customHeight="true" outlineLevel="0" collapsed="false">
      <c r="A39" s="29" t="s">
        <v>646</v>
      </c>
      <c r="B39" s="30" t="s">
        <v>1276</v>
      </c>
      <c r="C39" s="30"/>
      <c r="D39" s="30"/>
      <c r="E39" s="30"/>
      <c r="F39" s="30"/>
    </row>
    <row r="40" customFormat="false" ht="15" hidden="false" customHeight="true" outlineLevel="0" collapsed="false">
      <c r="A40" s="29" t="s">
        <v>647</v>
      </c>
      <c r="B40" s="30" t="s">
        <v>1277</v>
      </c>
      <c r="C40" s="30"/>
      <c r="D40" s="30"/>
      <c r="E40" s="30"/>
      <c r="F40" s="30"/>
    </row>
    <row r="41" customFormat="false" ht="23.25" hidden="false" customHeight="true" outlineLevel="0" collapsed="false">
      <c r="A41" s="29" t="s">
        <v>648</v>
      </c>
      <c r="B41" s="30" t="s">
        <v>1278</v>
      </c>
      <c r="C41" s="30"/>
      <c r="D41" s="30"/>
      <c r="E41" s="30"/>
      <c r="F41" s="30"/>
    </row>
    <row r="42" customFormat="false" ht="15" hidden="false" customHeight="true" outlineLevel="0" collapsed="false">
      <c r="A42" s="29" t="s">
        <v>649</v>
      </c>
      <c r="B42" s="30" t="s">
        <v>1279</v>
      </c>
      <c r="C42" s="30"/>
      <c r="D42" s="30"/>
      <c r="E42" s="30"/>
      <c r="F42" s="30"/>
    </row>
    <row r="43" customFormat="false" ht="15" hidden="false" customHeight="true" outlineLevel="0" collapsed="false">
      <c r="A43" s="29" t="s">
        <v>650</v>
      </c>
      <c r="B43" s="30" t="s">
        <v>1280</v>
      </c>
      <c r="C43" s="30"/>
      <c r="D43" s="30"/>
      <c r="E43" s="30"/>
      <c r="F43" s="30"/>
    </row>
    <row r="44" customFormat="false" ht="15" hidden="false" customHeight="true" outlineLevel="0" collapsed="false">
      <c r="A44" s="29" t="s">
        <v>651</v>
      </c>
      <c r="B44" s="30" t="s">
        <v>1134</v>
      </c>
      <c r="C44" s="30"/>
      <c r="D44" s="30"/>
      <c r="E44" s="30"/>
      <c r="F44" s="30"/>
    </row>
    <row r="45" customFormat="false" ht="15" hidden="false" customHeight="true" outlineLevel="0" collapsed="false">
      <c r="A45" s="29" t="s">
        <v>652</v>
      </c>
      <c r="B45" s="30" t="s">
        <v>1134</v>
      </c>
      <c r="C45" s="30"/>
      <c r="D45" s="30"/>
      <c r="E45" s="30"/>
      <c r="F45" s="30"/>
    </row>
    <row r="46" customFormat="false" ht="15" hidden="false" customHeight="true" outlineLevel="0" collapsed="false">
      <c r="A46" s="29" t="s">
        <v>653</v>
      </c>
      <c r="B46" s="30" t="s">
        <v>1134</v>
      </c>
      <c r="C46" s="30"/>
      <c r="D46" s="30"/>
      <c r="E46" s="30"/>
      <c r="F46" s="30"/>
    </row>
    <row r="47" customFormat="false" ht="15" hidden="false" customHeight="true" outlineLevel="0" collapsed="false">
      <c r="A47" s="29" t="s">
        <v>654</v>
      </c>
      <c r="B47" s="30" t="s">
        <v>1281</v>
      </c>
      <c r="C47" s="30"/>
      <c r="D47" s="30"/>
      <c r="E47" s="30"/>
      <c r="F47" s="30"/>
    </row>
    <row r="48" customFormat="false" ht="23.25" hidden="false" customHeight="true" outlineLevel="0" collapsed="false">
      <c r="A48" s="29" t="s">
        <v>655</v>
      </c>
      <c r="B48" s="30" t="s">
        <v>1134</v>
      </c>
      <c r="C48" s="30"/>
      <c r="D48" s="30"/>
      <c r="E48" s="30"/>
      <c r="F48" s="30"/>
    </row>
    <row r="49" customFormat="false" ht="15" hidden="false" customHeight="true" outlineLevel="0" collapsed="false">
      <c r="A49" s="29" t="s">
        <v>656</v>
      </c>
      <c r="B49" s="30" t="s">
        <v>1282</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1283</v>
      </c>
      <c r="C52" s="30"/>
      <c r="D52" s="30"/>
      <c r="E52" s="30"/>
      <c r="F52" s="30"/>
    </row>
    <row r="53" customFormat="false" ht="15" hidden="false" customHeight="true" outlineLevel="0" collapsed="false">
      <c r="A53" s="29" t="s">
        <v>658</v>
      </c>
      <c r="B53" s="30" t="s">
        <v>1284</v>
      </c>
      <c r="C53" s="30"/>
      <c r="D53" s="30"/>
      <c r="E53" s="30"/>
      <c r="F53" s="30"/>
    </row>
    <row r="54" customFormat="false" ht="15" hidden="false" customHeight="true" outlineLevel="0" collapsed="false">
      <c r="A54" s="29" t="s">
        <v>659</v>
      </c>
      <c r="B54" s="30" t="s">
        <v>1285</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2231</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7"/>
      <c r="D62" s="27"/>
      <c r="E62" s="27"/>
      <c r="F62" s="27"/>
    </row>
    <row r="63" customFormat="false" ht="15" hidden="false" customHeight="true" outlineLevel="0" collapsed="false">
      <c r="A63" s="3" t="s">
        <v>1355</v>
      </c>
      <c r="B63" s="3" t="s">
        <v>1449</v>
      </c>
      <c r="C63" s="27"/>
      <c r="D63" s="27"/>
      <c r="E63" s="27"/>
      <c r="F63" s="27"/>
    </row>
    <row r="64" customFormat="false" ht="15" hidden="false" customHeight="true" outlineLevel="0" collapsed="false">
      <c r="A64" s="3" t="s">
        <v>1356</v>
      </c>
      <c r="B64" s="3" t="s">
        <v>60</v>
      </c>
      <c r="C64" s="27"/>
      <c r="D64" s="27"/>
      <c r="E64" s="27"/>
      <c r="F64" s="27"/>
    </row>
    <row r="65" customFormat="false" ht="34.5" hidden="false" customHeight="true" outlineLevel="0" collapsed="false">
      <c r="A65" s="3" t="s">
        <v>1357</v>
      </c>
      <c r="B65" s="3" t="s">
        <v>1472</v>
      </c>
      <c r="C65" s="27"/>
      <c r="D65" s="27"/>
      <c r="E65" s="27"/>
      <c r="F65" s="27"/>
    </row>
    <row r="66" customFormat="false" ht="15" hidden="false" customHeight="true" outlineLevel="0" collapsed="false">
      <c r="A66" s="3" t="s">
        <v>1358</v>
      </c>
      <c r="B66" s="3" t="s">
        <v>1473</v>
      </c>
      <c r="C66" s="27"/>
      <c r="D66" s="27"/>
      <c r="E66" s="27"/>
      <c r="F66" s="27"/>
    </row>
    <row r="67" customFormat="false" ht="34.5" hidden="false" customHeight="true" outlineLevel="0" collapsed="false">
      <c r="A67" s="3" t="s">
        <v>1359</v>
      </c>
      <c r="B67" s="3" t="s">
        <v>1474</v>
      </c>
      <c r="C67" s="27"/>
      <c r="D67" s="27"/>
      <c r="E67" s="27"/>
      <c r="F67" s="27"/>
    </row>
    <row r="68" customFormat="false" ht="68.25" hidden="false" customHeight="true" outlineLevel="0" collapsed="false">
      <c r="A68" s="3" t="s">
        <v>1360</v>
      </c>
      <c r="B68" s="3" t="s">
        <v>1475</v>
      </c>
      <c r="C68" s="27"/>
      <c r="D68" s="27"/>
      <c r="E68" s="27"/>
      <c r="F68" s="27"/>
    </row>
    <row r="69" customFormat="false" ht="57" hidden="false" customHeight="true" outlineLevel="0" collapsed="false">
      <c r="A69" s="3" t="s">
        <v>1361</v>
      </c>
      <c r="B69" s="3" t="s">
        <v>1476</v>
      </c>
      <c r="C69" s="27"/>
      <c r="D69" s="27"/>
      <c r="E69" s="27"/>
      <c r="F69" s="27"/>
    </row>
    <row r="70" customFormat="false" ht="34.5" hidden="false" customHeight="true" outlineLevel="0" collapsed="false">
      <c r="A70" s="3" t="s">
        <v>1362</v>
      </c>
      <c r="B70" s="3" t="s">
        <v>1477</v>
      </c>
      <c r="C70" s="27"/>
      <c r="D70" s="27"/>
      <c r="E70" s="27"/>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1287</v>
      </c>
      <c r="C73" s="30"/>
      <c r="D73" s="30"/>
      <c r="E73" s="30"/>
      <c r="F73" s="30"/>
    </row>
    <row r="74" customFormat="false" ht="15" hidden="false" customHeight="true" outlineLevel="0" collapsed="false">
      <c r="A74" s="29" t="s">
        <v>2238</v>
      </c>
      <c r="B74" s="30" t="s">
        <v>809</v>
      </c>
      <c r="C74" s="30"/>
      <c r="D74" s="30"/>
      <c r="E74" s="30"/>
      <c r="F74" s="30"/>
    </row>
    <row r="75" customFormat="false" ht="15" hidden="false" customHeight="true" outlineLevel="0" collapsed="false">
      <c r="A75" s="29" t="s">
        <v>1359</v>
      </c>
      <c r="B75" s="30" t="s">
        <v>809</v>
      </c>
      <c r="C75" s="30"/>
      <c r="D75" s="30"/>
      <c r="E75" s="30"/>
      <c r="F75" s="30"/>
    </row>
    <row r="76" customFormat="false" ht="23.25" hidden="false" customHeight="true" outlineLevel="0" collapsed="false">
      <c r="A76" s="29" t="s">
        <v>2239</v>
      </c>
      <c r="B76" s="30" t="s">
        <v>1242</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68.25" hidden="false" customHeight="true" outlineLevel="0" collapsed="false">
      <c r="A79" s="29" t="s">
        <v>669</v>
      </c>
      <c r="B79" s="30" t="s">
        <v>1288</v>
      </c>
      <c r="C79" s="30"/>
      <c r="D79" s="30"/>
      <c r="E79" s="30"/>
      <c r="F79" s="30"/>
    </row>
    <row r="80" customFormat="false" ht="68.25" hidden="false" customHeight="true" outlineLevel="0" collapsed="false">
      <c r="A80" s="29" t="s">
        <v>670</v>
      </c>
      <c r="B80" s="30" t="s">
        <v>1289</v>
      </c>
      <c r="C80" s="30"/>
      <c r="D80" s="30"/>
      <c r="E80" s="30"/>
      <c r="F80" s="30"/>
    </row>
    <row r="81" customFormat="false" ht="68.25" hidden="false" customHeight="true" outlineLevel="0" collapsed="false">
      <c r="A81" s="29" t="s">
        <v>671</v>
      </c>
      <c r="B81" s="30" t="s">
        <v>1290</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23.25" hidden="false" customHeight="true" outlineLevel="0" collapsed="false">
      <c r="A85" s="3" t="s">
        <v>2245</v>
      </c>
      <c r="B85" s="3" t="s">
        <v>1291</v>
      </c>
      <c r="C85" s="3" t="s">
        <v>2250</v>
      </c>
      <c r="D85" s="27"/>
      <c r="E85" s="27"/>
      <c r="F85" s="27"/>
    </row>
    <row r="86" customFormat="false" ht="23.25" hidden="false" customHeight="true" outlineLevel="0" collapsed="false">
      <c r="A86" s="3" t="s">
        <v>2289</v>
      </c>
      <c r="B86" s="3" t="s">
        <v>809</v>
      </c>
      <c r="C86" s="3" t="s">
        <v>2250</v>
      </c>
      <c r="D86" s="27"/>
      <c r="E86" s="27"/>
      <c r="F86" s="27"/>
    </row>
    <row r="87" customFormat="false" ht="23.25" hidden="false" customHeight="true" outlineLevel="0" collapsed="false">
      <c r="A87" s="3" t="s">
        <v>2248</v>
      </c>
      <c r="B87" s="3" t="s">
        <v>809</v>
      </c>
      <c r="C87" s="3" t="s">
        <v>2250</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23.25" hidden="false" customHeight="true" outlineLevel="0" collapsed="false">
      <c r="A92" s="3" t="s">
        <v>2254</v>
      </c>
      <c r="B92" s="3" t="s">
        <v>1292</v>
      </c>
      <c r="C92" s="3" t="s">
        <v>2250</v>
      </c>
      <c r="D92" s="27"/>
      <c r="E92" s="27"/>
      <c r="F92" s="27"/>
    </row>
    <row r="93" customFormat="false" ht="15" hidden="false" customHeight="true" outlineLevel="0" collapsed="false">
      <c r="A93" s="3" t="s">
        <v>2255</v>
      </c>
      <c r="B93" s="3" t="s">
        <v>809</v>
      </c>
      <c r="C93" s="3" t="s">
        <v>2250</v>
      </c>
      <c r="D93" s="27"/>
      <c r="E93" s="27"/>
      <c r="F93" s="27"/>
    </row>
    <row r="94" customFormat="false" ht="45.75" hidden="false" customHeight="true" outlineLevel="0" collapsed="false">
      <c r="A94" s="3" t="s">
        <v>2256</v>
      </c>
      <c r="B94" s="3" t="s">
        <v>1293</v>
      </c>
      <c r="C94" s="3" t="s">
        <v>2250</v>
      </c>
      <c r="D94" s="27"/>
      <c r="E94" s="27"/>
      <c r="F94" s="27"/>
    </row>
    <row r="95" customFormat="false" ht="15" hidden="false" customHeight="true" outlineLevel="0" collapsed="false">
      <c r="A95" s="3" t="s">
        <v>2257</v>
      </c>
      <c r="B95" s="3" t="s">
        <v>809</v>
      </c>
      <c r="C95" s="3" t="s">
        <v>2250</v>
      </c>
      <c r="D95" s="27"/>
      <c r="E95" s="27"/>
      <c r="F95" s="27"/>
    </row>
    <row r="96" customFormat="false" ht="15" hidden="false" customHeight="true" outlineLevel="0" collapsed="false">
      <c r="A96" s="3" t="s">
        <v>2258</v>
      </c>
      <c r="B96" s="3" t="s">
        <v>809</v>
      </c>
      <c r="C96" s="3" t="s">
        <v>2250</v>
      </c>
      <c r="D96" s="27"/>
      <c r="E96" s="27"/>
      <c r="F96" s="27"/>
    </row>
    <row r="97" customFormat="false" ht="15" hidden="false" customHeight="true" outlineLevel="0" collapsed="false">
      <c r="A97" s="3" t="s">
        <v>2259</v>
      </c>
      <c r="B97" s="3" t="s">
        <v>809</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34.5" hidden="false" customHeight="true" outlineLevel="0" collapsed="false">
      <c r="A99" s="3" t="s">
        <v>2261</v>
      </c>
      <c r="B99" s="3" t="s">
        <v>1294</v>
      </c>
      <c r="C99" s="3" t="s">
        <v>2250</v>
      </c>
      <c r="D99" s="27"/>
      <c r="E99" s="27"/>
      <c r="F99" s="27"/>
    </row>
    <row r="100" customFormat="false" ht="68.25" hidden="false" customHeight="true" outlineLevel="0" collapsed="false">
      <c r="A100" s="3" t="s">
        <v>2262</v>
      </c>
      <c r="B100" s="3" t="s">
        <v>1295</v>
      </c>
      <c r="C100" s="3" t="s">
        <v>2246</v>
      </c>
      <c r="D100" s="27"/>
      <c r="E100" s="27"/>
      <c r="F100" s="27"/>
    </row>
    <row r="101" customFormat="false" ht="34.5" hidden="false" customHeight="true" outlineLevel="0" collapsed="false">
      <c r="A101" s="26" t="s">
        <v>1296</v>
      </c>
      <c r="B101" s="27"/>
      <c r="C101" s="27"/>
      <c r="D101" s="27"/>
      <c r="E101" s="27"/>
      <c r="F101" s="27"/>
    </row>
    <row r="102" customFormat="false" ht="15" hidden="false" customHeight="true" outlineLevel="0" collapsed="false">
      <c r="A102" s="27"/>
      <c r="B102" s="27"/>
      <c r="C102" s="27"/>
      <c r="D102" s="27"/>
      <c r="E102" s="27"/>
      <c r="F102" s="27"/>
    </row>
    <row r="103" customFormat="false" ht="15" hidden="false" customHeight="true" outlineLevel="0" collapsed="false">
      <c r="A103" s="28" t="s">
        <v>2263</v>
      </c>
      <c r="B103" s="28"/>
      <c r="C103" s="28"/>
      <c r="D103" s="28"/>
      <c r="E103" s="28"/>
      <c r="F103" s="28"/>
    </row>
    <row r="104" customFormat="false" ht="15" hidden="false" customHeight="true" outlineLevel="0" collapsed="false">
      <c r="A104" s="29" t="s">
        <v>2264</v>
      </c>
      <c r="B104" s="29" t="s">
        <v>2265</v>
      </c>
      <c r="C104" s="29" t="s">
        <v>2244</v>
      </c>
      <c r="D104" s="27"/>
      <c r="E104" s="27"/>
      <c r="F104" s="27"/>
    </row>
    <row r="105" customFormat="false" ht="15" hidden="false" customHeight="true" outlineLevel="0" collapsed="false">
      <c r="A105" s="3" t="s">
        <v>2266</v>
      </c>
      <c r="B105" s="3" t="s">
        <v>809</v>
      </c>
      <c r="C105" s="3" t="s">
        <v>2250</v>
      </c>
      <c r="D105" s="27"/>
      <c r="E105" s="27"/>
      <c r="F105" s="27"/>
    </row>
    <row r="106" customFormat="false" ht="15" hidden="false" customHeight="true" outlineLevel="0" collapsed="false">
      <c r="A106" s="3" t="s">
        <v>2267</v>
      </c>
      <c r="B106" s="3" t="s">
        <v>809</v>
      </c>
      <c r="C106" s="3" t="s">
        <v>2250</v>
      </c>
      <c r="D106" s="27"/>
      <c r="E106" s="27"/>
      <c r="F106" s="27"/>
    </row>
    <row r="107" customFormat="false" ht="23.25" hidden="false" customHeight="true" outlineLevel="0" collapsed="false">
      <c r="A107" s="3" t="s">
        <v>2268</v>
      </c>
      <c r="B107" s="3" t="s">
        <v>1297</v>
      </c>
      <c r="C107" s="3" t="s">
        <v>2250</v>
      </c>
      <c r="D107" s="27"/>
      <c r="E107" s="27"/>
      <c r="F107" s="27"/>
    </row>
    <row r="108" customFormat="false" ht="15" hidden="false" customHeight="true" outlineLevel="0" collapsed="false">
      <c r="A108" s="3" t="s">
        <v>2269</v>
      </c>
      <c r="B108" s="3" t="s">
        <v>809</v>
      </c>
      <c r="C108" s="3" t="s">
        <v>2250</v>
      </c>
      <c r="D108" s="27"/>
      <c r="E108" s="27"/>
      <c r="F108" s="27"/>
    </row>
    <row r="109" customFormat="false" ht="34.5" hidden="false" customHeight="true" outlineLevel="0" collapsed="false">
      <c r="A109" s="3" t="s">
        <v>2270</v>
      </c>
      <c r="B109" s="3" t="s">
        <v>1298</v>
      </c>
      <c r="C109" s="3" t="s">
        <v>2246</v>
      </c>
      <c r="D109" s="27"/>
      <c r="E109" s="27"/>
      <c r="F109" s="27"/>
    </row>
    <row r="110" customFormat="false" ht="15" hidden="false" customHeight="true" outlineLevel="0" collapsed="false">
      <c r="A110" s="3" t="s">
        <v>2271</v>
      </c>
      <c r="B110" s="3" t="s">
        <v>809</v>
      </c>
      <c r="C110" s="3" t="s">
        <v>2250</v>
      </c>
      <c r="D110" s="27"/>
      <c r="E110" s="27"/>
      <c r="F110" s="27"/>
    </row>
    <row r="111" customFormat="false" ht="23.25" hidden="false" customHeight="true" outlineLevel="0" collapsed="false">
      <c r="A111" s="3" t="s">
        <v>2272</v>
      </c>
      <c r="B111" s="3" t="s">
        <v>1299</v>
      </c>
      <c r="C111" s="3" t="s">
        <v>2246</v>
      </c>
      <c r="D111" s="27"/>
      <c r="E111" s="27"/>
      <c r="F111" s="27"/>
    </row>
    <row r="112" customFormat="false" ht="15" hidden="false" customHeight="true" outlineLevel="0" collapsed="false">
      <c r="A112" s="3" t="s">
        <v>2273</v>
      </c>
      <c r="B112" s="3" t="s">
        <v>858</v>
      </c>
      <c r="C112" s="3" t="s">
        <v>2250</v>
      </c>
      <c r="D112" s="27"/>
      <c r="E112" s="27"/>
      <c r="F112" s="27"/>
    </row>
    <row r="113" customFormat="false" ht="23.25" hidden="false" customHeight="true" outlineLevel="0" collapsed="false">
      <c r="A113" s="3" t="s">
        <v>2274</v>
      </c>
      <c r="B113" s="3" t="s">
        <v>1300</v>
      </c>
      <c r="C113" s="3" t="s">
        <v>2250</v>
      </c>
      <c r="D113" s="27"/>
      <c r="E113" s="27"/>
      <c r="F113" s="27"/>
    </row>
    <row r="114" customFormat="false" ht="15" hidden="false" customHeight="true" outlineLevel="0" collapsed="false">
      <c r="A114" s="3" t="s">
        <v>2275</v>
      </c>
      <c r="B114" s="3" t="s">
        <v>809</v>
      </c>
      <c r="C114" s="3" t="s">
        <v>2250</v>
      </c>
      <c r="D114" s="27"/>
      <c r="E114" s="27"/>
      <c r="F114" s="27"/>
    </row>
    <row r="115" customFormat="false" ht="15" hidden="false" customHeight="true" outlineLevel="0" collapsed="false">
      <c r="A115" s="27"/>
      <c r="B115" s="27"/>
      <c r="C115" s="27"/>
      <c r="D115" s="27"/>
      <c r="E115" s="27"/>
      <c r="F115" s="27"/>
    </row>
    <row r="116" customFormat="false" ht="15" hidden="false" customHeight="true" outlineLevel="0" collapsed="false">
      <c r="A116" s="28" t="s">
        <v>2276</v>
      </c>
      <c r="B116" s="28"/>
      <c r="C116" s="28"/>
      <c r="D116" s="28"/>
      <c r="E116" s="28"/>
      <c r="F116" s="28"/>
    </row>
    <row r="117" customFormat="false" ht="15" hidden="false" customHeight="true" outlineLevel="0" collapsed="false">
      <c r="A117" s="29" t="s">
        <v>2277</v>
      </c>
      <c r="B117" s="29" t="s">
        <v>2278</v>
      </c>
      <c r="C117" s="29" t="s">
        <v>24</v>
      </c>
      <c r="D117" s="27"/>
      <c r="E117" s="27"/>
      <c r="F117" s="27"/>
    </row>
    <row r="118" customFormat="false" ht="23.25" hidden="false" customHeight="true" outlineLevel="0" collapsed="false">
      <c r="A118" s="3" t="s">
        <v>2279</v>
      </c>
      <c r="B118" s="3" t="s">
        <v>1301</v>
      </c>
      <c r="C118" s="3" t="s">
        <v>797</v>
      </c>
      <c r="D118" s="27"/>
      <c r="E118" s="27"/>
      <c r="F118" s="27"/>
    </row>
    <row r="119" customFormat="false" ht="23.25" hidden="false" customHeight="true" outlineLevel="0" collapsed="false">
      <c r="A119" s="3" t="s">
        <v>2280</v>
      </c>
      <c r="B119" s="3" t="s">
        <v>1302</v>
      </c>
      <c r="C119" s="3" t="s">
        <v>797</v>
      </c>
      <c r="D119" s="27"/>
      <c r="E119" s="27"/>
      <c r="F119" s="27"/>
    </row>
    <row r="120" customFormat="false" ht="23.25" hidden="false" customHeight="true" outlineLevel="0" collapsed="false">
      <c r="A120" s="3" t="s">
        <v>2281</v>
      </c>
      <c r="B120" s="3" t="s">
        <v>1303</v>
      </c>
      <c r="C120" s="3" t="s">
        <v>797</v>
      </c>
      <c r="D120" s="27"/>
      <c r="E120" s="27"/>
      <c r="F120" s="27"/>
    </row>
    <row r="121" customFormat="false" ht="23.25" hidden="false" customHeight="true" outlineLevel="0" collapsed="false">
      <c r="A121" s="3" t="s">
        <v>2227</v>
      </c>
      <c r="B121" s="3" t="s">
        <v>1304</v>
      </c>
      <c r="C121" s="3" t="s">
        <v>801</v>
      </c>
      <c r="D121" s="27"/>
      <c r="E121" s="27"/>
      <c r="F121" s="27"/>
    </row>
    <row r="122" customFormat="false" ht="15" hidden="false" customHeight="true" outlineLevel="0" collapsed="false">
      <c r="A122" s="3" t="s">
        <v>2229</v>
      </c>
      <c r="B122" s="3" t="s">
        <v>1305</v>
      </c>
      <c r="C122" s="3" t="s">
        <v>804</v>
      </c>
      <c r="D122" s="27"/>
      <c r="E122" s="27"/>
      <c r="F122" s="27"/>
    </row>
    <row r="123" customFormat="false" ht="15" hidden="false" customHeight="true" outlineLevel="0" collapsed="false">
      <c r="A123" s="3" t="s">
        <v>2230</v>
      </c>
      <c r="B123" s="3" t="s">
        <v>809</v>
      </c>
      <c r="C123" s="3" t="s">
        <v>804</v>
      </c>
      <c r="D123" s="27"/>
      <c r="E123" s="27"/>
      <c r="F123" s="27"/>
    </row>
    <row r="124" customFormat="false" ht="23.25" hidden="false" customHeight="true" outlineLevel="0" collapsed="false">
      <c r="A124" s="3" t="s">
        <v>2282</v>
      </c>
      <c r="B124" s="3" t="s">
        <v>1306</v>
      </c>
      <c r="C124" s="3" t="s">
        <v>797</v>
      </c>
      <c r="D124" s="27"/>
      <c r="E124" s="27"/>
      <c r="F124" s="27"/>
    </row>
    <row r="125" customFormat="false" ht="15" hidden="false" customHeight="true" outlineLevel="0" collapsed="false">
      <c r="A125" s="3" t="s">
        <v>2283</v>
      </c>
      <c r="B125" s="3" t="s">
        <v>866</v>
      </c>
      <c r="C125" s="3" t="s">
        <v>746</v>
      </c>
      <c r="D125" s="27"/>
      <c r="E125" s="27"/>
      <c r="F125" s="27"/>
    </row>
    <row r="126" customFormat="false" ht="15" hidden="false" customHeight="true" outlineLevel="0" collapsed="false">
      <c r="A126" s="3" t="s">
        <v>2284</v>
      </c>
      <c r="B126" s="3" t="s">
        <v>809</v>
      </c>
      <c r="C126" s="3" t="s">
        <v>867</v>
      </c>
      <c r="D126" s="27"/>
      <c r="E126" s="27"/>
      <c r="F126" s="27"/>
    </row>
    <row r="127" customFormat="false" ht="15" hidden="false" customHeight="true" outlineLevel="0" collapsed="false">
      <c r="A127" s="27"/>
      <c r="B127" s="27"/>
      <c r="C127" s="27"/>
      <c r="D127" s="27"/>
      <c r="E127" s="27"/>
      <c r="F127" s="27"/>
    </row>
    <row r="128" customFormat="false" ht="15" hidden="false" customHeight="true" outlineLevel="0" collapsed="false">
      <c r="A128" s="28" t="s">
        <v>2285</v>
      </c>
      <c r="B128" s="28"/>
      <c r="C128" s="28"/>
      <c r="D128" s="28"/>
      <c r="E128" s="28"/>
      <c r="F128" s="28"/>
    </row>
    <row r="129" customFormat="false" ht="15" hidden="false" customHeight="true" outlineLevel="0" collapsed="false">
      <c r="A129" s="29" t="s">
        <v>1553</v>
      </c>
      <c r="B129" s="29" t="s">
        <v>1554</v>
      </c>
      <c r="C129" s="29" t="s">
        <v>1555</v>
      </c>
      <c r="D129" s="29" t="s">
        <v>1556</v>
      </c>
      <c r="E129" s="29" t="s">
        <v>1557</v>
      </c>
      <c r="F129" s="27"/>
    </row>
    <row r="130" customFormat="false" ht="45.75" hidden="false" customHeight="true" outlineLevel="0" collapsed="false">
      <c r="A130" s="3" t="s">
        <v>1558</v>
      </c>
      <c r="B130" s="3" t="s">
        <v>2043</v>
      </c>
      <c r="C130" s="3" t="s">
        <v>1831</v>
      </c>
      <c r="D130" s="3" t="s">
        <v>2044</v>
      </c>
      <c r="E130" s="3" t="s">
        <v>2045</v>
      </c>
      <c r="F130" s="27"/>
    </row>
    <row r="131" customFormat="false" ht="23.25" hidden="false" customHeight="true" outlineLevel="0" collapsed="false">
      <c r="A131" s="3" t="s">
        <v>1558</v>
      </c>
      <c r="B131" s="3" t="s">
        <v>2046</v>
      </c>
      <c r="C131" s="3" t="s">
        <v>1831</v>
      </c>
      <c r="D131" s="3" t="s">
        <v>2047</v>
      </c>
      <c r="E131" s="3" t="s">
        <v>2048</v>
      </c>
      <c r="F131" s="27"/>
    </row>
    <row r="132" customFormat="false" ht="23.25" hidden="false" customHeight="true" outlineLevel="0" collapsed="false">
      <c r="A132" s="3" t="s">
        <v>1558</v>
      </c>
      <c r="B132" s="3" t="s">
        <v>2049</v>
      </c>
      <c r="C132" s="3" t="s">
        <v>2050</v>
      </c>
      <c r="D132" s="3" t="s">
        <v>2051</v>
      </c>
      <c r="E132" s="3" t="s">
        <v>2052</v>
      </c>
      <c r="F132" s="27"/>
    </row>
    <row r="133" customFormat="false" ht="23.25" hidden="false" customHeight="true" outlineLevel="0" collapsed="false">
      <c r="A133" s="3" t="s">
        <v>1558</v>
      </c>
      <c r="B133" s="3" t="s">
        <v>2053</v>
      </c>
      <c r="C133" s="3" t="s">
        <v>1831</v>
      </c>
      <c r="D133" s="3" t="s">
        <v>2054</v>
      </c>
      <c r="E133" s="3" t="s">
        <v>2055</v>
      </c>
      <c r="F133" s="27"/>
    </row>
    <row r="134" customFormat="false" ht="23.25" hidden="false" customHeight="true" outlineLevel="0" collapsed="false">
      <c r="A134" s="3" t="s">
        <v>1558</v>
      </c>
      <c r="B134" s="3" t="s">
        <v>2056</v>
      </c>
      <c r="C134" s="3" t="s">
        <v>2050</v>
      </c>
      <c r="D134" s="3" t="s">
        <v>2057</v>
      </c>
      <c r="E134" s="3" t="s">
        <v>2058</v>
      </c>
      <c r="F134" s="27"/>
    </row>
    <row r="135" customFormat="false" ht="45.75" hidden="false" customHeight="true" outlineLevel="0" collapsed="false">
      <c r="A135" s="3" t="s">
        <v>1596</v>
      </c>
      <c r="B135" s="3" t="s">
        <v>2059</v>
      </c>
      <c r="C135" s="3" t="s">
        <v>2060</v>
      </c>
      <c r="D135" s="3" t="s">
        <v>2061</v>
      </c>
      <c r="E135" s="3" t="s">
        <v>2062</v>
      </c>
      <c r="F135" s="27"/>
    </row>
    <row r="136" customFormat="false" ht="23.25" hidden="false" customHeight="true" outlineLevel="0" collapsed="false">
      <c r="A136" s="3" t="s">
        <v>1729</v>
      </c>
      <c r="B136" s="3" t="s">
        <v>2063</v>
      </c>
      <c r="C136" s="3" t="s">
        <v>809</v>
      </c>
      <c r="D136" s="3" t="s">
        <v>809</v>
      </c>
      <c r="E136" s="3" t="s">
        <v>2064</v>
      </c>
      <c r="F136" s="27"/>
    </row>
    <row r="137" customFormat="false" ht="15" hidden="false" customHeight="true" outlineLevel="0" collapsed="false">
      <c r="A137" s="27"/>
      <c r="B137" s="27"/>
      <c r="C137" s="27"/>
      <c r="D137" s="27"/>
      <c r="E137" s="27"/>
      <c r="F137" s="27"/>
    </row>
    <row r="138" customFormat="false" ht="15" hidden="false" customHeight="true" outlineLevel="0" collapsed="false">
      <c r="A138" s="28" t="s">
        <v>744</v>
      </c>
      <c r="B138" s="28"/>
      <c r="C138" s="28"/>
      <c r="D138" s="28"/>
      <c r="E138" s="28"/>
      <c r="F138" s="28"/>
    </row>
    <row r="139" customFormat="false" ht="15" hidden="false" customHeight="true" outlineLevel="0" collapsed="false">
      <c r="A139" s="29" t="s">
        <v>2265</v>
      </c>
      <c r="B139" s="30" t="s">
        <v>1307</v>
      </c>
      <c r="C139" s="30"/>
      <c r="D139" s="30"/>
      <c r="E139" s="30"/>
      <c r="F139"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38:F138"/>
    <mergeCell ref="B139:F1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70"/>
    <col collapsed="false" customWidth="true" hidden="false" outlineLevel="0" max="6" min="3" style="1" width="34"/>
  </cols>
  <sheetData>
    <row r="1" customFormat="false" ht="15.75" hidden="false" customHeight="true" outlineLevel="0" collapsed="false">
      <c r="A1" s="25" t="s">
        <v>2312</v>
      </c>
    </row>
    <row r="2" customFormat="false" ht="23.25" hidden="false" customHeight="true" outlineLevel="0" collapsed="false">
      <c r="A2" s="26" t="s">
        <v>1309</v>
      </c>
      <c r="B2" s="27"/>
      <c r="C2" s="27"/>
      <c r="D2" s="27"/>
      <c r="E2" s="27"/>
      <c r="F2" s="27"/>
    </row>
    <row r="3" customFormat="false" ht="34.5" hidden="false" customHeight="true" outlineLevel="0" collapsed="false">
      <c r="A3" s="4" t="s">
        <v>1308</v>
      </c>
      <c r="B3" s="27"/>
      <c r="C3" s="27"/>
      <c r="D3" s="27"/>
      <c r="E3" s="27"/>
      <c r="F3" s="27"/>
    </row>
    <row r="4" customFormat="false" ht="45.75" hidden="false" customHeight="true" outlineLevel="0" collapsed="false">
      <c r="A4" s="3" t="s">
        <v>2307</v>
      </c>
      <c r="B4" s="27"/>
      <c r="C4" s="27"/>
      <c r="D4" s="27"/>
      <c r="E4" s="27"/>
      <c r="F4" s="27"/>
    </row>
    <row r="5" customFormat="false" ht="15" hidden="false" customHeight="true" outlineLevel="0" collapsed="false">
      <c r="A5" s="27"/>
      <c r="B5" s="27"/>
      <c r="C5" s="27"/>
      <c r="D5" s="27"/>
      <c r="E5" s="27"/>
      <c r="F5" s="27"/>
    </row>
    <row r="6" customFormat="false" ht="15" hidden="false" customHeight="true" outlineLevel="0" collapsed="false">
      <c r="A6" s="28" t="s">
        <v>2223</v>
      </c>
      <c r="B6" s="28"/>
      <c r="C6" s="28"/>
      <c r="D6" s="28"/>
      <c r="E6" s="28"/>
      <c r="F6" s="28"/>
    </row>
    <row r="7" customFormat="false" ht="15" hidden="false" customHeight="true" outlineLevel="0" collapsed="false">
      <c r="A7" s="29" t="s">
        <v>627</v>
      </c>
      <c r="B7" s="30" t="s">
        <v>1310</v>
      </c>
      <c r="C7" s="30"/>
      <c r="D7" s="30"/>
      <c r="E7" s="30"/>
      <c r="F7" s="30"/>
    </row>
    <row r="8" customFormat="false" ht="15" hidden="false" customHeight="true" outlineLevel="0" collapsed="false">
      <c r="A8" s="29" t="s">
        <v>2156</v>
      </c>
      <c r="B8" s="30" t="s">
        <v>2189</v>
      </c>
      <c r="C8" s="30"/>
      <c r="D8" s="30"/>
      <c r="E8" s="30"/>
      <c r="F8" s="30"/>
    </row>
    <row r="9" customFormat="false" ht="15" hidden="false" customHeight="true" outlineLevel="0" collapsed="false">
      <c r="A9" s="29" t="s">
        <v>2157</v>
      </c>
      <c r="B9" s="30" t="s">
        <v>2167</v>
      </c>
      <c r="C9" s="30"/>
      <c r="D9" s="30"/>
      <c r="E9" s="30"/>
      <c r="F9" s="30"/>
    </row>
    <row r="10" customFormat="false" ht="15" hidden="false" customHeight="true" outlineLevel="0" collapsed="false">
      <c r="A10" s="29" t="s">
        <v>2158</v>
      </c>
      <c r="B10" s="30" t="s">
        <v>2167</v>
      </c>
      <c r="C10" s="30"/>
      <c r="D10" s="30"/>
      <c r="E10" s="30"/>
      <c r="F10" s="30"/>
    </row>
    <row r="11" customFormat="false" ht="15" hidden="false" customHeight="true" outlineLevel="0" collapsed="false">
      <c r="A11" s="29" t="s">
        <v>2159</v>
      </c>
      <c r="B11" s="30" t="s">
        <v>2168</v>
      </c>
      <c r="C11" s="30"/>
      <c r="D11" s="30"/>
      <c r="E11" s="30"/>
      <c r="F11" s="30"/>
    </row>
    <row r="12" customFormat="false" ht="23.25" hidden="false" customHeight="true" outlineLevel="0" collapsed="false">
      <c r="A12" s="29" t="s">
        <v>2160</v>
      </c>
      <c r="B12" s="30" t="s">
        <v>2190</v>
      </c>
      <c r="C12" s="30"/>
      <c r="D12" s="30"/>
      <c r="E12" s="30"/>
      <c r="F12" s="30"/>
    </row>
    <row r="13" customFormat="false" ht="45.75" hidden="false" customHeight="true" outlineLevel="0" collapsed="false">
      <c r="A13" s="29" t="s">
        <v>2161</v>
      </c>
      <c r="B13" s="30" t="s">
        <v>2191</v>
      </c>
      <c r="C13" s="30"/>
      <c r="D13" s="30"/>
      <c r="E13" s="30"/>
      <c r="F13" s="30"/>
    </row>
    <row r="14" customFormat="false" ht="15" hidden="false" customHeight="true" outlineLevel="0" collapsed="false">
      <c r="A14" s="27"/>
      <c r="B14" s="27"/>
      <c r="C14" s="27"/>
      <c r="D14" s="27"/>
      <c r="E14" s="27"/>
      <c r="F14" s="27"/>
    </row>
    <row r="15" customFormat="false" ht="15" hidden="false" customHeight="true" outlineLevel="0" collapsed="false">
      <c r="A15" s="28" t="s">
        <v>2224</v>
      </c>
      <c r="B15" s="28"/>
      <c r="C15" s="28"/>
      <c r="D15" s="28"/>
      <c r="E15" s="28"/>
      <c r="F15" s="28"/>
    </row>
    <row r="16" customFormat="false" ht="15" hidden="false" customHeight="true" outlineLevel="0" collapsed="false">
      <c r="A16" s="29" t="s">
        <v>626</v>
      </c>
      <c r="B16" s="30" t="s">
        <v>139</v>
      </c>
      <c r="C16" s="30"/>
      <c r="D16" s="30"/>
      <c r="E16" s="30"/>
      <c r="F16" s="30"/>
    </row>
    <row r="17" customFormat="false" ht="15" hidden="false" customHeight="true" outlineLevel="0" collapsed="false">
      <c r="A17" s="29" t="s">
        <v>627</v>
      </c>
      <c r="B17" s="30" t="s">
        <v>1310</v>
      </c>
      <c r="C17" s="30"/>
      <c r="D17" s="30"/>
      <c r="E17" s="30"/>
      <c r="F17" s="30"/>
    </row>
    <row r="18" customFormat="false" ht="15" hidden="false" customHeight="true" outlineLevel="0" collapsed="false">
      <c r="A18" s="29" t="s">
        <v>628</v>
      </c>
      <c r="B18" s="30" t="s">
        <v>1311</v>
      </c>
      <c r="C18" s="30"/>
      <c r="D18" s="30"/>
      <c r="E18" s="30"/>
      <c r="F18" s="30"/>
    </row>
    <row r="19" customFormat="false" ht="15" hidden="false" customHeight="true" outlineLevel="0" collapsed="false">
      <c r="A19" s="29" t="s">
        <v>629</v>
      </c>
      <c r="B19" s="30" t="s">
        <v>1312</v>
      </c>
      <c r="C19" s="30"/>
      <c r="D19" s="30"/>
      <c r="E19" s="30"/>
      <c r="F19" s="30"/>
    </row>
    <row r="20" customFormat="false" ht="15" hidden="false" customHeight="true" outlineLevel="0" collapsed="false">
      <c r="A20" s="29" t="s">
        <v>630</v>
      </c>
      <c r="B20" s="30" t="s">
        <v>1313</v>
      </c>
      <c r="C20" s="30"/>
      <c r="D20" s="30"/>
      <c r="E20" s="30"/>
      <c r="F20" s="30"/>
    </row>
    <row r="21" customFormat="false" ht="15" hidden="false" customHeight="true" outlineLevel="0" collapsed="false">
      <c r="A21" s="29" t="s">
        <v>631</v>
      </c>
      <c r="B21" s="30" t="s">
        <v>1045</v>
      </c>
      <c r="C21" s="30"/>
      <c r="D21" s="30"/>
      <c r="E21" s="30"/>
      <c r="F21" s="30"/>
    </row>
    <row r="22" customFormat="false" ht="15" hidden="false" customHeight="true" outlineLevel="0" collapsed="false">
      <c r="A22" s="29" t="s">
        <v>632</v>
      </c>
      <c r="B22" s="30" t="s">
        <v>819</v>
      </c>
      <c r="C22" s="30"/>
      <c r="D22" s="30"/>
      <c r="E22" s="30"/>
      <c r="F22" s="30"/>
    </row>
    <row r="23" customFormat="false" ht="15" hidden="false" customHeight="true" outlineLevel="0" collapsed="false">
      <c r="A23" s="27"/>
      <c r="B23" s="27"/>
      <c r="C23" s="27"/>
      <c r="D23" s="27"/>
      <c r="E23" s="27"/>
      <c r="F23" s="27"/>
    </row>
    <row r="24" customFormat="false" ht="15" hidden="false" customHeight="true" outlineLevel="0" collapsed="false">
      <c r="A24" s="28" t="s">
        <v>1511</v>
      </c>
      <c r="B24" s="28"/>
      <c r="C24" s="28"/>
      <c r="D24" s="28"/>
      <c r="E24" s="28"/>
      <c r="F24" s="28"/>
    </row>
    <row r="25" customFormat="false" ht="15" hidden="false" customHeight="true" outlineLevel="0" collapsed="false">
      <c r="A25" s="29" t="s">
        <v>634</v>
      </c>
      <c r="B25" s="30" t="s">
        <v>141</v>
      </c>
      <c r="C25" s="30"/>
      <c r="D25" s="30"/>
      <c r="E25" s="30"/>
      <c r="F25" s="30"/>
    </row>
    <row r="26" customFormat="false" ht="15" hidden="false" customHeight="true" outlineLevel="0" collapsed="false">
      <c r="A26" s="29" t="s">
        <v>635</v>
      </c>
      <c r="B26" s="30" t="s">
        <v>140</v>
      </c>
      <c r="C26" s="30"/>
      <c r="D26" s="30"/>
      <c r="E26" s="30"/>
      <c r="F26" s="30"/>
    </row>
    <row r="27" customFormat="false" ht="15" hidden="false" customHeight="true" outlineLevel="0" collapsed="false">
      <c r="A27" s="29" t="s">
        <v>636</v>
      </c>
      <c r="B27" s="30" t="s">
        <v>756</v>
      </c>
      <c r="C27" s="30"/>
      <c r="D27" s="30"/>
      <c r="E27" s="30"/>
      <c r="F27" s="30"/>
    </row>
    <row r="28" customFormat="false" ht="15" hidden="false" customHeight="true" outlineLevel="0" collapsed="false">
      <c r="A28" s="29" t="s">
        <v>637</v>
      </c>
      <c r="B28" s="30" t="s">
        <v>1314</v>
      </c>
      <c r="C28" s="30"/>
      <c r="D28" s="30"/>
      <c r="E28" s="30"/>
      <c r="F28" s="30"/>
    </row>
    <row r="29" customFormat="false" ht="15" hidden="false" customHeight="true" outlineLevel="0" collapsed="false">
      <c r="A29" s="29" t="s">
        <v>638</v>
      </c>
      <c r="B29" s="30" t="s">
        <v>773</v>
      </c>
      <c r="C29" s="30"/>
      <c r="D29" s="30"/>
      <c r="E29" s="30"/>
      <c r="F29" s="30"/>
    </row>
    <row r="30" customFormat="false" ht="15" hidden="false" customHeight="true" outlineLevel="0" collapsed="false">
      <c r="A30" s="29" t="s">
        <v>639</v>
      </c>
      <c r="B30" s="30" t="s">
        <v>809</v>
      </c>
      <c r="C30" s="30"/>
      <c r="D30" s="30"/>
      <c r="E30" s="30"/>
      <c r="F30" s="30"/>
    </row>
    <row r="31" customFormat="false" ht="15" hidden="false" customHeight="true" outlineLevel="0" collapsed="false">
      <c r="A31" s="29" t="s">
        <v>640</v>
      </c>
      <c r="B31" s="30" t="s">
        <v>1315</v>
      </c>
      <c r="C31" s="30"/>
      <c r="D31" s="30"/>
      <c r="E31" s="30"/>
      <c r="F31" s="30"/>
    </row>
    <row r="32" customFormat="false" ht="15" hidden="false" customHeight="true" outlineLevel="0" collapsed="false">
      <c r="A32" s="29" t="s">
        <v>641</v>
      </c>
      <c r="B32" s="30" t="s">
        <v>1316</v>
      </c>
      <c r="C32" s="30"/>
      <c r="D32" s="30"/>
      <c r="E32" s="30"/>
      <c r="F32" s="30"/>
    </row>
    <row r="33" customFormat="false" ht="15" hidden="false" customHeight="true" outlineLevel="0" collapsed="false">
      <c r="A33" s="29" t="s">
        <v>642</v>
      </c>
      <c r="B33" s="30" t="s">
        <v>773</v>
      </c>
      <c r="C33" s="30"/>
      <c r="D33" s="30"/>
      <c r="E33" s="30"/>
      <c r="F33" s="30"/>
    </row>
    <row r="34" customFormat="false" ht="15" hidden="false" customHeight="true" outlineLevel="0" collapsed="false">
      <c r="A34" s="27"/>
      <c r="B34" s="27"/>
      <c r="C34" s="27"/>
      <c r="D34" s="27"/>
      <c r="E34" s="27"/>
      <c r="F34" s="27"/>
    </row>
    <row r="35" customFormat="false" ht="15" hidden="false" customHeight="true" outlineLevel="0" collapsed="false">
      <c r="A35" s="28" t="s">
        <v>2225</v>
      </c>
      <c r="B35" s="28"/>
      <c r="C35" s="28"/>
      <c r="D35" s="28"/>
      <c r="E35" s="28"/>
      <c r="F35" s="28"/>
    </row>
    <row r="36" customFormat="false" ht="15" hidden="false" customHeight="true" outlineLevel="0" collapsed="false">
      <c r="A36" s="29" t="s">
        <v>643</v>
      </c>
      <c r="B36" s="30" t="s">
        <v>1007</v>
      </c>
      <c r="C36" s="30"/>
      <c r="D36" s="30"/>
      <c r="E36" s="30"/>
      <c r="F36" s="30"/>
    </row>
    <row r="37" customFormat="false" ht="15" hidden="false" customHeight="true" outlineLevel="0" collapsed="false">
      <c r="A37" s="29" t="s">
        <v>644</v>
      </c>
      <c r="B37" s="30" t="s">
        <v>1317</v>
      </c>
      <c r="C37" s="30"/>
      <c r="D37" s="30"/>
      <c r="E37" s="30"/>
      <c r="F37" s="30"/>
    </row>
    <row r="38" customFormat="false" ht="15" hidden="false" customHeight="true" outlineLevel="0" collapsed="false">
      <c r="A38" s="29" t="s">
        <v>645</v>
      </c>
      <c r="B38" s="30" t="s">
        <v>1318</v>
      </c>
      <c r="C38" s="30"/>
      <c r="D38" s="30"/>
      <c r="E38" s="30"/>
      <c r="F38" s="30"/>
    </row>
    <row r="39" customFormat="false" ht="15" hidden="false" customHeight="true" outlineLevel="0" collapsed="false">
      <c r="A39" s="29" t="s">
        <v>646</v>
      </c>
      <c r="B39" s="30" t="s">
        <v>1319</v>
      </c>
      <c r="C39" s="30"/>
      <c r="D39" s="30"/>
      <c r="E39" s="30"/>
      <c r="F39" s="30"/>
    </row>
    <row r="40" customFormat="false" ht="23.25" hidden="false" customHeight="true" outlineLevel="0" collapsed="false">
      <c r="A40" s="29" t="s">
        <v>647</v>
      </c>
      <c r="B40" s="30" t="s">
        <v>1320</v>
      </c>
      <c r="C40" s="30"/>
      <c r="D40" s="30"/>
      <c r="E40" s="30"/>
      <c r="F40" s="30"/>
    </row>
    <row r="41" customFormat="false" ht="23.25" hidden="false" customHeight="true" outlineLevel="0" collapsed="false">
      <c r="A41" s="29" t="s">
        <v>648</v>
      </c>
      <c r="B41" s="30" t="s">
        <v>1321</v>
      </c>
      <c r="C41" s="30"/>
      <c r="D41" s="30"/>
      <c r="E41" s="30"/>
      <c r="F41" s="30"/>
    </row>
    <row r="42" customFormat="false" ht="15" hidden="false" customHeight="true" outlineLevel="0" collapsed="false">
      <c r="A42" s="29" t="s">
        <v>649</v>
      </c>
      <c r="B42" s="30" t="s">
        <v>769</v>
      </c>
      <c r="C42" s="30"/>
      <c r="D42" s="30"/>
      <c r="E42" s="30"/>
      <c r="F42" s="30"/>
    </row>
    <row r="43" customFormat="false" ht="15" hidden="false" customHeight="true" outlineLevel="0" collapsed="false">
      <c r="A43" s="29" t="s">
        <v>650</v>
      </c>
      <c r="B43" s="30" t="s">
        <v>831</v>
      </c>
      <c r="C43" s="30"/>
      <c r="D43" s="30"/>
      <c r="E43" s="30"/>
      <c r="F43" s="30"/>
    </row>
    <row r="44" customFormat="false" ht="15" hidden="false" customHeight="true" outlineLevel="0" collapsed="false">
      <c r="A44" s="29" t="s">
        <v>651</v>
      </c>
      <c r="B44" s="30" t="s">
        <v>1322</v>
      </c>
      <c r="C44" s="30"/>
      <c r="D44" s="30"/>
      <c r="E44" s="30"/>
      <c r="F44" s="30"/>
    </row>
    <row r="45" customFormat="false" ht="15" hidden="false" customHeight="true" outlineLevel="0" collapsed="false">
      <c r="A45" s="29" t="s">
        <v>652</v>
      </c>
      <c r="B45" s="30" t="s">
        <v>1323</v>
      </c>
      <c r="C45" s="30"/>
      <c r="D45" s="30"/>
      <c r="E45" s="30"/>
      <c r="F45" s="30"/>
    </row>
    <row r="46" customFormat="false" ht="15" hidden="false" customHeight="true" outlineLevel="0" collapsed="false">
      <c r="A46" s="29" t="s">
        <v>653</v>
      </c>
      <c r="B46" s="30" t="s">
        <v>773</v>
      </c>
      <c r="C46" s="30"/>
      <c r="D46" s="30"/>
      <c r="E46" s="30"/>
      <c r="F46" s="30"/>
    </row>
    <row r="47" customFormat="false" ht="23.25" hidden="false" customHeight="true" outlineLevel="0" collapsed="false">
      <c r="A47" s="29" t="s">
        <v>654</v>
      </c>
      <c r="B47" s="30" t="s">
        <v>1324</v>
      </c>
      <c r="C47" s="30"/>
      <c r="D47" s="30"/>
      <c r="E47" s="30"/>
      <c r="F47" s="30"/>
    </row>
    <row r="48" customFormat="false" ht="23.25" hidden="false" customHeight="true" outlineLevel="0" collapsed="false">
      <c r="A48" s="29" t="s">
        <v>655</v>
      </c>
      <c r="B48" s="30" t="s">
        <v>772</v>
      </c>
      <c r="C48" s="30"/>
      <c r="D48" s="30"/>
      <c r="E48" s="30"/>
      <c r="F48" s="30"/>
    </row>
    <row r="49" customFormat="false" ht="15" hidden="false" customHeight="true" outlineLevel="0" collapsed="false">
      <c r="A49" s="29" t="s">
        <v>656</v>
      </c>
      <c r="B49" s="30" t="s">
        <v>1325</v>
      </c>
      <c r="C49" s="30"/>
      <c r="D49" s="30"/>
      <c r="E49" s="30"/>
      <c r="F49" s="30"/>
    </row>
    <row r="50" customFormat="false" ht="15" hidden="false" customHeight="true" outlineLevel="0" collapsed="false">
      <c r="A50" s="27"/>
      <c r="B50" s="27"/>
      <c r="C50" s="27"/>
      <c r="D50" s="27"/>
      <c r="E50" s="27"/>
      <c r="F50" s="27"/>
    </row>
    <row r="51" customFormat="false" ht="15" hidden="false" customHeight="true" outlineLevel="0" collapsed="false">
      <c r="A51" s="28" t="s">
        <v>614</v>
      </c>
      <c r="B51" s="28"/>
      <c r="C51" s="28"/>
      <c r="D51" s="28"/>
      <c r="E51" s="28"/>
      <c r="F51" s="28"/>
    </row>
    <row r="52" customFormat="false" ht="15" hidden="false" customHeight="true" outlineLevel="0" collapsed="false">
      <c r="A52" s="29" t="s">
        <v>657</v>
      </c>
      <c r="B52" s="30" t="s">
        <v>1326</v>
      </c>
      <c r="C52" s="30"/>
      <c r="D52" s="30"/>
      <c r="E52" s="30"/>
      <c r="F52" s="30"/>
    </row>
    <row r="53" customFormat="false" ht="15" hidden="false" customHeight="true" outlineLevel="0" collapsed="false">
      <c r="A53" s="29" t="s">
        <v>658</v>
      </c>
      <c r="B53" s="30" t="s">
        <v>1327</v>
      </c>
      <c r="C53" s="30"/>
      <c r="D53" s="30"/>
      <c r="E53" s="30"/>
      <c r="F53" s="30"/>
    </row>
    <row r="54" customFormat="false" ht="23.25" hidden="false" customHeight="true" outlineLevel="0" collapsed="false">
      <c r="A54" s="29" t="s">
        <v>659</v>
      </c>
      <c r="B54" s="30" t="s">
        <v>1328</v>
      </c>
      <c r="C54" s="30"/>
      <c r="D54" s="30"/>
      <c r="E54" s="30"/>
      <c r="F54" s="30"/>
    </row>
    <row r="55" customFormat="false" ht="15" hidden="false" customHeight="true" outlineLevel="0" collapsed="false">
      <c r="A55" s="27"/>
      <c r="B55" s="27"/>
      <c r="C55" s="27"/>
      <c r="D55" s="27"/>
      <c r="E55" s="27"/>
      <c r="F55" s="27"/>
    </row>
    <row r="56" customFormat="false" ht="15" hidden="false" customHeight="true" outlineLevel="0" collapsed="false">
      <c r="A56" s="28" t="s">
        <v>2226</v>
      </c>
      <c r="B56" s="28"/>
      <c r="C56" s="28"/>
      <c r="D56" s="28"/>
      <c r="E56" s="28"/>
      <c r="F56" s="28"/>
    </row>
    <row r="57" customFormat="false" ht="15" hidden="false" customHeight="true" outlineLevel="0" collapsed="false">
      <c r="A57" s="29" t="s">
        <v>2227</v>
      </c>
      <c r="B57" s="30" t="s">
        <v>2228</v>
      </c>
      <c r="C57" s="30"/>
      <c r="D57" s="30"/>
      <c r="E57" s="30"/>
      <c r="F57" s="30"/>
    </row>
    <row r="58" customFormat="false" ht="15" hidden="false" customHeight="true" outlineLevel="0" collapsed="false">
      <c r="A58" s="29" t="s">
        <v>2229</v>
      </c>
      <c r="B58" s="30" t="s">
        <v>2313</v>
      </c>
      <c r="C58" s="30"/>
      <c r="D58" s="30"/>
      <c r="E58" s="30"/>
      <c r="F58" s="30"/>
    </row>
    <row r="59" customFormat="false" ht="15" hidden="false" customHeight="true" outlineLevel="0" collapsed="false">
      <c r="A59" s="29" t="s">
        <v>2230</v>
      </c>
      <c r="B59" s="30" t="s">
        <v>2231</v>
      </c>
      <c r="C59" s="30"/>
      <c r="D59" s="30"/>
      <c r="E59" s="30"/>
      <c r="F59" s="30"/>
    </row>
    <row r="60" customFormat="false" ht="15" hidden="false" customHeight="true" outlineLevel="0" collapsed="false">
      <c r="A60" s="27"/>
      <c r="B60" s="27"/>
      <c r="C60" s="27"/>
      <c r="D60" s="27"/>
      <c r="E60" s="27"/>
      <c r="F60" s="27"/>
    </row>
    <row r="61" customFormat="false" ht="15" hidden="false" customHeight="true" outlineLevel="0" collapsed="false">
      <c r="A61" s="4" t="s">
        <v>2232</v>
      </c>
      <c r="B61" s="27"/>
      <c r="C61" s="27"/>
      <c r="D61" s="27"/>
      <c r="E61" s="27"/>
      <c r="F61" s="27"/>
    </row>
    <row r="62" customFormat="false" ht="15" hidden="false" customHeight="true" outlineLevel="0" collapsed="false">
      <c r="A62" s="29" t="s">
        <v>2233</v>
      </c>
      <c r="B62" s="29" t="s">
        <v>2234</v>
      </c>
      <c r="C62" s="29" t="s">
        <v>2235</v>
      </c>
      <c r="D62" s="29" t="s">
        <v>2314</v>
      </c>
      <c r="E62" s="29" t="s">
        <v>2315</v>
      </c>
      <c r="F62" s="27"/>
    </row>
    <row r="63" customFormat="false" ht="45.75" hidden="false" customHeight="true" outlineLevel="0" collapsed="false">
      <c r="A63" s="3" t="s">
        <v>1355</v>
      </c>
      <c r="B63" s="3" t="s">
        <v>1479</v>
      </c>
      <c r="C63" s="3" t="s">
        <v>1487</v>
      </c>
      <c r="D63" s="3" t="s">
        <v>1496</v>
      </c>
      <c r="E63" s="3" t="s">
        <v>1372</v>
      </c>
      <c r="F63" s="27"/>
    </row>
    <row r="64" customFormat="false" ht="34.5" hidden="false" customHeight="true" outlineLevel="0" collapsed="false">
      <c r="A64" s="3" t="s">
        <v>1356</v>
      </c>
      <c r="B64" s="3" t="s">
        <v>60</v>
      </c>
      <c r="C64" s="3" t="s">
        <v>1488</v>
      </c>
      <c r="D64" s="3" t="s">
        <v>128</v>
      </c>
      <c r="E64" s="3" t="s">
        <v>128</v>
      </c>
      <c r="F64" s="27"/>
    </row>
    <row r="65" customFormat="false" ht="34.5" hidden="false" customHeight="true" outlineLevel="0" collapsed="false">
      <c r="A65" s="3" t="s">
        <v>1357</v>
      </c>
      <c r="B65" s="3" t="s">
        <v>1480</v>
      </c>
      <c r="C65" s="3" t="s">
        <v>1489</v>
      </c>
      <c r="D65" s="3" t="s">
        <v>1497</v>
      </c>
      <c r="E65" s="3" t="s">
        <v>1504</v>
      </c>
      <c r="F65" s="27"/>
    </row>
    <row r="66" customFormat="false" ht="57" hidden="false" customHeight="true" outlineLevel="0" collapsed="false">
      <c r="A66" s="3" t="s">
        <v>1358</v>
      </c>
      <c r="B66" s="3" t="s">
        <v>1481</v>
      </c>
      <c r="C66" s="3" t="s">
        <v>1490</v>
      </c>
      <c r="D66" s="3" t="s">
        <v>1498</v>
      </c>
      <c r="E66" s="3" t="s">
        <v>1505</v>
      </c>
      <c r="F66" s="27"/>
    </row>
    <row r="67" customFormat="false" ht="57" hidden="false" customHeight="true" outlineLevel="0" collapsed="false">
      <c r="A67" s="3" t="s">
        <v>1359</v>
      </c>
      <c r="B67" s="3" t="s">
        <v>1482</v>
      </c>
      <c r="C67" s="3" t="s">
        <v>1491</v>
      </c>
      <c r="D67" s="3" t="s">
        <v>1499</v>
      </c>
      <c r="E67" s="3" t="s">
        <v>1506</v>
      </c>
      <c r="F67" s="27"/>
    </row>
    <row r="68" customFormat="false" ht="113.25" hidden="false" customHeight="true" outlineLevel="0" collapsed="false">
      <c r="A68" s="3" t="s">
        <v>1360</v>
      </c>
      <c r="B68" s="3" t="s">
        <v>1483</v>
      </c>
      <c r="C68" s="3" t="s">
        <v>1492</v>
      </c>
      <c r="D68" s="3" t="s">
        <v>1500</v>
      </c>
      <c r="E68" s="3" t="s">
        <v>1507</v>
      </c>
      <c r="F68" s="27"/>
    </row>
    <row r="69" customFormat="false" ht="45.75" hidden="false" customHeight="true" outlineLevel="0" collapsed="false">
      <c r="A69" s="3" t="s">
        <v>1361</v>
      </c>
      <c r="B69" s="3" t="s">
        <v>1484</v>
      </c>
      <c r="C69" s="3" t="s">
        <v>1493</v>
      </c>
      <c r="D69" s="3" t="s">
        <v>1501</v>
      </c>
      <c r="E69" s="3" t="s">
        <v>1508</v>
      </c>
      <c r="F69" s="27"/>
    </row>
    <row r="70" customFormat="false" ht="90.75" hidden="false" customHeight="true" outlineLevel="0" collapsed="false">
      <c r="A70" s="3" t="s">
        <v>1362</v>
      </c>
      <c r="B70" s="3" t="s">
        <v>1485</v>
      </c>
      <c r="C70" s="3" t="s">
        <v>1494</v>
      </c>
      <c r="D70" s="3" t="s">
        <v>1502</v>
      </c>
      <c r="E70" s="3" t="s">
        <v>1509</v>
      </c>
      <c r="F70" s="27"/>
    </row>
    <row r="71" customFormat="false" ht="15" hidden="false" customHeight="true" outlineLevel="0" collapsed="false">
      <c r="A71" s="27"/>
      <c r="B71" s="27"/>
      <c r="C71" s="27"/>
      <c r="D71" s="27"/>
      <c r="E71" s="27"/>
      <c r="F71" s="27"/>
    </row>
    <row r="72" customFormat="false" ht="15" hidden="false" customHeight="true" outlineLevel="0" collapsed="false">
      <c r="A72" s="4" t="s">
        <v>2236</v>
      </c>
      <c r="B72" s="27"/>
      <c r="C72" s="27"/>
      <c r="D72" s="27"/>
      <c r="E72" s="27"/>
      <c r="F72" s="27"/>
    </row>
    <row r="73" customFormat="false" ht="15" hidden="false" customHeight="true" outlineLevel="0" collapsed="false">
      <c r="A73" s="29" t="s">
        <v>2237</v>
      </c>
      <c r="B73" s="30" t="s">
        <v>758</v>
      </c>
      <c r="C73" s="30"/>
      <c r="D73" s="30"/>
      <c r="E73" s="30"/>
      <c r="F73" s="30"/>
    </row>
    <row r="74" customFormat="false" ht="15" hidden="false" customHeight="true" outlineLevel="0" collapsed="false">
      <c r="A74" s="29" t="s">
        <v>2238</v>
      </c>
      <c r="B74" s="30" t="s">
        <v>1330</v>
      </c>
      <c r="C74" s="30"/>
      <c r="D74" s="30"/>
      <c r="E74" s="30"/>
      <c r="F74" s="30"/>
    </row>
    <row r="75" customFormat="false" ht="15" hidden="false" customHeight="true" outlineLevel="0" collapsed="false">
      <c r="A75" s="29" t="s">
        <v>1359</v>
      </c>
      <c r="B75" s="30" t="s">
        <v>1331</v>
      </c>
      <c r="C75" s="30"/>
      <c r="D75" s="30"/>
      <c r="E75" s="30"/>
      <c r="F75" s="30"/>
    </row>
    <row r="76" customFormat="false" ht="23.25" hidden="false" customHeight="true" outlineLevel="0" collapsed="false">
      <c r="A76" s="29" t="s">
        <v>2239</v>
      </c>
      <c r="B76" s="30" t="s">
        <v>1332</v>
      </c>
      <c r="C76" s="30"/>
      <c r="D76" s="30"/>
      <c r="E76" s="30"/>
      <c r="F76" s="30"/>
    </row>
    <row r="77" customFormat="false" ht="15" hidden="false" customHeight="true" outlineLevel="0" collapsed="false">
      <c r="A77" s="27"/>
      <c r="B77" s="27"/>
      <c r="C77" s="27"/>
      <c r="D77" s="27"/>
      <c r="E77" s="27"/>
      <c r="F77" s="27"/>
    </row>
    <row r="78" customFormat="false" ht="15" hidden="false" customHeight="true" outlineLevel="0" collapsed="false">
      <c r="A78" s="28" t="s">
        <v>2240</v>
      </c>
      <c r="B78" s="28"/>
      <c r="C78" s="28"/>
      <c r="D78" s="28"/>
      <c r="E78" s="28"/>
      <c r="F78" s="28"/>
    </row>
    <row r="79" customFormat="false" ht="68.25" hidden="false" customHeight="true" outlineLevel="0" collapsed="false">
      <c r="A79" s="29" t="s">
        <v>669</v>
      </c>
      <c r="B79" s="30" t="s">
        <v>1333</v>
      </c>
      <c r="C79" s="30"/>
      <c r="D79" s="30"/>
      <c r="E79" s="30"/>
      <c r="F79" s="30"/>
    </row>
    <row r="80" customFormat="false" ht="68.25" hidden="false" customHeight="true" outlineLevel="0" collapsed="false">
      <c r="A80" s="29" t="s">
        <v>670</v>
      </c>
      <c r="B80" s="30" t="s">
        <v>1334</v>
      </c>
      <c r="C80" s="30"/>
      <c r="D80" s="30"/>
      <c r="E80" s="30"/>
      <c r="F80" s="30"/>
    </row>
    <row r="81" customFormat="false" ht="79.5" hidden="false" customHeight="true" outlineLevel="0" collapsed="false">
      <c r="A81" s="29" t="s">
        <v>671</v>
      </c>
      <c r="B81" s="30" t="s">
        <v>1335</v>
      </c>
      <c r="C81" s="30"/>
      <c r="D81" s="30"/>
      <c r="E81" s="30"/>
      <c r="F81" s="30"/>
    </row>
    <row r="82" customFormat="false" ht="15" hidden="false" customHeight="true" outlineLevel="0" collapsed="false">
      <c r="A82" s="27"/>
      <c r="B82" s="27"/>
      <c r="C82" s="27"/>
      <c r="D82" s="27"/>
      <c r="E82" s="27"/>
      <c r="F82" s="27"/>
    </row>
    <row r="83" customFormat="false" ht="15" hidden="false" customHeight="true" outlineLevel="0" collapsed="false">
      <c r="A83" s="28" t="s">
        <v>2241</v>
      </c>
      <c r="B83" s="28"/>
      <c r="C83" s="28"/>
      <c r="D83" s="28"/>
      <c r="E83" s="28"/>
      <c r="F83" s="28"/>
    </row>
    <row r="84" customFormat="false" ht="15" hidden="false" customHeight="true" outlineLevel="0" collapsed="false">
      <c r="A84" s="29" t="s">
        <v>2242</v>
      </c>
      <c r="B84" s="29" t="s">
        <v>2243</v>
      </c>
      <c r="C84" s="29" t="s">
        <v>2244</v>
      </c>
      <c r="D84" s="27"/>
      <c r="E84" s="27"/>
      <c r="F84" s="27"/>
    </row>
    <row r="85" customFormat="false" ht="34.5" hidden="false" customHeight="true" outlineLevel="0" collapsed="false">
      <c r="A85" s="3" t="s">
        <v>2245</v>
      </c>
      <c r="B85" s="3" t="s">
        <v>1336</v>
      </c>
      <c r="C85" s="3" t="s">
        <v>2246</v>
      </c>
      <c r="D85" s="27"/>
      <c r="E85" s="27"/>
      <c r="F85" s="27"/>
    </row>
    <row r="86" customFormat="false" ht="45.75" hidden="false" customHeight="true" outlineLevel="0" collapsed="false">
      <c r="A86" s="3" t="s">
        <v>2289</v>
      </c>
      <c r="B86" s="3" t="s">
        <v>1337</v>
      </c>
      <c r="C86" s="3" t="s">
        <v>2250</v>
      </c>
      <c r="D86" s="27"/>
      <c r="E86" s="27"/>
      <c r="F86" s="27"/>
    </row>
    <row r="87" customFormat="false" ht="23.25" hidden="false" customHeight="true" outlineLevel="0" collapsed="false">
      <c r="A87" s="3" t="s">
        <v>2248</v>
      </c>
      <c r="B87" s="3" t="s">
        <v>809</v>
      </c>
      <c r="C87" s="3" t="s">
        <v>2250</v>
      </c>
      <c r="D87" s="27"/>
      <c r="E87" s="27"/>
      <c r="F87" s="27"/>
    </row>
    <row r="88" customFormat="false" ht="15" hidden="false" customHeight="true" outlineLevel="0" collapsed="false">
      <c r="A88" s="3" t="s">
        <v>2249</v>
      </c>
      <c r="B88" s="3" t="s">
        <v>809</v>
      </c>
      <c r="C88" s="3" t="s">
        <v>2250</v>
      </c>
      <c r="D88" s="27"/>
      <c r="E88" s="27"/>
      <c r="F88" s="27"/>
    </row>
    <row r="89" customFormat="false" ht="15" hidden="false" customHeight="true" outlineLevel="0" collapsed="false">
      <c r="A89" s="3" t="s">
        <v>2251</v>
      </c>
      <c r="B89" s="3" t="s">
        <v>809</v>
      </c>
      <c r="C89" s="3" t="s">
        <v>2250</v>
      </c>
      <c r="D89" s="27"/>
      <c r="E89" s="27"/>
      <c r="F89" s="27"/>
    </row>
    <row r="90" customFormat="false" ht="15" hidden="false" customHeight="true" outlineLevel="0" collapsed="false">
      <c r="A90" s="3" t="s">
        <v>2252</v>
      </c>
      <c r="B90" s="3" t="s">
        <v>809</v>
      </c>
      <c r="C90" s="3" t="s">
        <v>2250</v>
      </c>
      <c r="D90" s="27"/>
      <c r="E90" s="27"/>
      <c r="F90" s="27"/>
    </row>
    <row r="91" customFormat="false" ht="23.25" hidden="false" customHeight="true" outlineLevel="0" collapsed="false">
      <c r="A91" s="3" t="s">
        <v>2253</v>
      </c>
      <c r="B91" s="3" t="s">
        <v>809</v>
      </c>
      <c r="C91" s="3" t="s">
        <v>2250</v>
      </c>
      <c r="D91" s="27"/>
      <c r="E91" s="27"/>
      <c r="F91" s="27"/>
    </row>
    <row r="92" customFormat="false" ht="15" hidden="false" customHeight="true" outlineLevel="0" collapsed="false">
      <c r="A92" s="3" t="s">
        <v>2254</v>
      </c>
      <c r="B92" s="3" t="s">
        <v>809</v>
      </c>
      <c r="C92" s="3" t="s">
        <v>2250</v>
      </c>
      <c r="D92" s="27"/>
      <c r="E92" s="27"/>
      <c r="F92" s="27"/>
    </row>
    <row r="93" customFormat="false" ht="45.75" hidden="false" customHeight="true" outlineLevel="0" collapsed="false">
      <c r="A93" s="3" t="s">
        <v>2255</v>
      </c>
      <c r="B93" s="3" t="s">
        <v>1338</v>
      </c>
      <c r="C93" s="3" t="s">
        <v>2246</v>
      </c>
      <c r="D93" s="27"/>
      <c r="E93" s="27"/>
      <c r="F93" s="27"/>
    </row>
    <row r="94" customFormat="false" ht="34.5" hidden="false" customHeight="true" outlineLevel="0" collapsed="false">
      <c r="A94" s="3" t="s">
        <v>2256</v>
      </c>
      <c r="B94" s="3" t="s">
        <v>1339</v>
      </c>
      <c r="C94" s="3" t="s">
        <v>2246</v>
      </c>
      <c r="D94" s="27"/>
      <c r="E94" s="27"/>
      <c r="F94" s="27"/>
    </row>
    <row r="95" customFormat="false" ht="15" hidden="false" customHeight="true" outlineLevel="0" collapsed="false">
      <c r="A95" s="3" t="s">
        <v>2257</v>
      </c>
      <c r="B95" s="3" t="s">
        <v>809</v>
      </c>
      <c r="C95" s="3" t="s">
        <v>2250</v>
      </c>
      <c r="D95" s="27"/>
      <c r="E95" s="27"/>
      <c r="F95" s="27"/>
    </row>
    <row r="96" customFormat="false" ht="34.5" hidden="false" customHeight="true" outlineLevel="0" collapsed="false">
      <c r="A96" s="3" t="s">
        <v>2258</v>
      </c>
      <c r="B96" s="3" t="s">
        <v>1340</v>
      </c>
      <c r="C96" s="3" t="s">
        <v>2250</v>
      </c>
      <c r="D96" s="27"/>
      <c r="E96" s="27"/>
      <c r="F96" s="27"/>
    </row>
    <row r="97" customFormat="false" ht="15" hidden="false" customHeight="true" outlineLevel="0" collapsed="false">
      <c r="A97" s="3" t="s">
        <v>2259</v>
      </c>
      <c r="B97" s="3" t="s">
        <v>809</v>
      </c>
      <c r="C97" s="3" t="s">
        <v>2250</v>
      </c>
      <c r="D97" s="27"/>
      <c r="E97" s="27"/>
      <c r="F97" s="27"/>
    </row>
    <row r="98" customFormat="false" ht="23.25" hidden="false" customHeight="true" outlineLevel="0" collapsed="false">
      <c r="A98" s="3" t="s">
        <v>2260</v>
      </c>
      <c r="B98" s="3" t="s">
        <v>809</v>
      </c>
      <c r="C98" s="3" t="s">
        <v>2250</v>
      </c>
      <c r="D98" s="27"/>
      <c r="E98" s="27"/>
      <c r="F98" s="27"/>
    </row>
    <row r="99" customFormat="false" ht="15" hidden="false" customHeight="true" outlineLevel="0" collapsed="false">
      <c r="A99" s="3" t="s">
        <v>2261</v>
      </c>
      <c r="B99" s="3" t="s">
        <v>809</v>
      </c>
      <c r="C99" s="3" t="s">
        <v>2250</v>
      </c>
      <c r="D99" s="27"/>
      <c r="E99" s="27"/>
      <c r="F99" s="27"/>
    </row>
    <row r="100" customFormat="false" ht="15" hidden="false" customHeight="true" outlineLevel="0" collapsed="false">
      <c r="A100" s="3" t="s">
        <v>2262</v>
      </c>
      <c r="B100" s="3" t="s">
        <v>809</v>
      </c>
      <c r="C100" s="3" t="s">
        <v>2250</v>
      </c>
      <c r="D100" s="27"/>
      <c r="E100" s="27"/>
      <c r="F100" s="27"/>
    </row>
    <row r="101" customFormat="false" ht="34.5" hidden="false" customHeight="true" outlineLevel="0" collapsed="false">
      <c r="A101" s="26" t="s">
        <v>1341</v>
      </c>
      <c r="B101" s="27"/>
      <c r="C101" s="27"/>
      <c r="D101" s="27"/>
      <c r="E101" s="27"/>
      <c r="F101" s="27"/>
    </row>
    <row r="102" customFormat="false" ht="15" hidden="false" customHeight="true" outlineLevel="0" collapsed="false">
      <c r="A102" s="27"/>
      <c r="B102" s="27"/>
      <c r="C102" s="27"/>
      <c r="D102" s="27"/>
      <c r="E102" s="27"/>
      <c r="F102" s="27"/>
    </row>
    <row r="103" customFormat="false" ht="15" hidden="false" customHeight="true" outlineLevel="0" collapsed="false">
      <c r="A103" s="28" t="s">
        <v>2263</v>
      </c>
      <c r="B103" s="28"/>
      <c r="C103" s="28"/>
      <c r="D103" s="28"/>
      <c r="E103" s="28"/>
      <c r="F103" s="28"/>
    </row>
    <row r="104" customFormat="false" ht="15" hidden="false" customHeight="true" outlineLevel="0" collapsed="false">
      <c r="A104" s="29" t="s">
        <v>2264</v>
      </c>
      <c r="B104" s="29" t="s">
        <v>2265</v>
      </c>
      <c r="C104" s="29" t="s">
        <v>2244</v>
      </c>
      <c r="D104" s="27"/>
      <c r="E104" s="27"/>
      <c r="F104" s="27"/>
    </row>
    <row r="105" customFormat="false" ht="23.25" hidden="false" customHeight="true" outlineLevel="0" collapsed="false">
      <c r="A105" s="3" t="s">
        <v>2266</v>
      </c>
      <c r="B105" s="3" t="s">
        <v>1342</v>
      </c>
      <c r="C105" s="3" t="s">
        <v>2250</v>
      </c>
      <c r="D105" s="27"/>
      <c r="E105" s="27"/>
      <c r="F105" s="27"/>
    </row>
    <row r="106" customFormat="false" ht="23.25" hidden="false" customHeight="true" outlineLevel="0" collapsed="false">
      <c r="A106" s="3" t="s">
        <v>2267</v>
      </c>
      <c r="B106" s="3" t="s">
        <v>1343</v>
      </c>
      <c r="C106" s="3" t="s">
        <v>2246</v>
      </c>
      <c r="D106" s="27"/>
      <c r="E106" s="27"/>
      <c r="F106" s="27"/>
    </row>
    <row r="107" customFormat="false" ht="15" hidden="false" customHeight="true" outlineLevel="0" collapsed="false">
      <c r="A107" s="3" t="s">
        <v>2268</v>
      </c>
      <c r="B107" s="3" t="s">
        <v>809</v>
      </c>
      <c r="C107" s="3" t="s">
        <v>2250</v>
      </c>
      <c r="D107" s="27"/>
      <c r="E107" s="27"/>
      <c r="F107" s="27"/>
    </row>
    <row r="108" customFormat="false" ht="15" hidden="false" customHeight="true" outlineLevel="0" collapsed="false">
      <c r="A108" s="3" t="s">
        <v>2269</v>
      </c>
      <c r="B108" s="3" t="s">
        <v>809</v>
      </c>
      <c r="C108" s="3" t="s">
        <v>2250</v>
      </c>
      <c r="D108" s="27"/>
      <c r="E108" s="27"/>
      <c r="F108" s="27"/>
    </row>
    <row r="109" customFormat="false" ht="15" hidden="false" customHeight="true" outlineLevel="0" collapsed="false">
      <c r="A109" s="3" t="s">
        <v>2270</v>
      </c>
      <c r="B109" s="3" t="s">
        <v>809</v>
      </c>
      <c r="C109" s="3" t="s">
        <v>2250</v>
      </c>
      <c r="D109" s="27"/>
      <c r="E109" s="27"/>
      <c r="F109" s="27"/>
    </row>
    <row r="110" customFormat="false" ht="15" hidden="false" customHeight="true" outlineLevel="0" collapsed="false">
      <c r="A110" s="3" t="s">
        <v>2271</v>
      </c>
      <c r="B110" s="3" t="s">
        <v>1344</v>
      </c>
      <c r="C110" s="3" t="s">
        <v>2250</v>
      </c>
      <c r="D110" s="27"/>
      <c r="E110" s="27"/>
      <c r="F110" s="27"/>
    </row>
    <row r="111" customFormat="false" ht="23.25" hidden="false" customHeight="true" outlineLevel="0" collapsed="false">
      <c r="A111" s="3" t="s">
        <v>2272</v>
      </c>
      <c r="B111" s="3" t="s">
        <v>809</v>
      </c>
      <c r="C111" s="3" t="s">
        <v>2250</v>
      </c>
      <c r="D111" s="27"/>
      <c r="E111" s="27"/>
      <c r="F111" s="27"/>
    </row>
    <row r="112" customFormat="false" ht="15" hidden="false" customHeight="true" outlineLevel="0" collapsed="false">
      <c r="A112" s="3" t="s">
        <v>2273</v>
      </c>
      <c r="B112" s="3" t="s">
        <v>1345</v>
      </c>
      <c r="C112" s="3" t="s">
        <v>2250</v>
      </c>
      <c r="D112" s="27"/>
      <c r="E112" s="27"/>
      <c r="F112" s="27"/>
    </row>
    <row r="113" customFormat="false" ht="23.25" hidden="false" customHeight="true" outlineLevel="0" collapsed="false">
      <c r="A113" s="3" t="s">
        <v>2274</v>
      </c>
      <c r="B113" s="3" t="s">
        <v>1346</v>
      </c>
      <c r="C113" s="3" t="s">
        <v>2250</v>
      </c>
      <c r="D113" s="27"/>
      <c r="E113" s="27"/>
      <c r="F113" s="27"/>
    </row>
    <row r="114" customFormat="false" ht="15" hidden="false" customHeight="true" outlineLevel="0" collapsed="false">
      <c r="A114" s="3" t="s">
        <v>2275</v>
      </c>
      <c r="B114" s="3" t="s">
        <v>809</v>
      </c>
      <c r="C114" s="3" t="s">
        <v>2250</v>
      </c>
      <c r="D114" s="27"/>
      <c r="E114" s="27"/>
      <c r="F114" s="27"/>
    </row>
    <row r="115" customFormat="false" ht="15" hidden="false" customHeight="true" outlineLevel="0" collapsed="false">
      <c r="A115" s="27"/>
      <c r="B115" s="27"/>
      <c r="C115" s="27"/>
      <c r="D115" s="27"/>
      <c r="E115" s="27"/>
      <c r="F115" s="27"/>
    </row>
    <row r="116" customFormat="false" ht="15" hidden="false" customHeight="true" outlineLevel="0" collapsed="false">
      <c r="A116" s="28" t="s">
        <v>2276</v>
      </c>
      <c r="B116" s="28"/>
      <c r="C116" s="28"/>
      <c r="D116" s="28"/>
      <c r="E116" s="28"/>
      <c r="F116" s="28"/>
    </row>
    <row r="117" customFormat="false" ht="15" hidden="false" customHeight="true" outlineLevel="0" collapsed="false">
      <c r="A117" s="29" t="s">
        <v>2277</v>
      </c>
      <c r="B117" s="29" t="s">
        <v>2278</v>
      </c>
      <c r="C117" s="29" t="s">
        <v>24</v>
      </c>
      <c r="D117" s="27"/>
      <c r="E117" s="27"/>
      <c r="F117" s="27"/>
    </row>
    <row r="118" customFormat="false" ht="15" hidden="false" customHeight="true" outlineLevel="0" collapsed="false">
      <c r="A118" s="3" t="s">
        <v>2279</v>
      </c>
      <c r="B118" s="3" t="s">
        <v>1347</v>
      </c>
      <c r="C118" s="3" t="s">
        <v>797</v>
      </c>
      <c r="D118" s="27"/>
      <c r="E118" s="27"/>
      <c r="F118" s="27"/>
    </row>
    <row r="119" customFormat="false" ht="34.5" hidden="false" customHeight="true" outlineLevel="0" collapsed="false">
      <c r="A119" s="3" t="s">
        <v>2280</v>
      </c>
      <c r="B119" s="3" t="s">
        <v>1348</v>
      </c>
      <c r="C119" s="3" t="s">
        <v>797</v>
      </c>
      <c r="D119" s="27"/>
      <c r="E119" s="27"/>
      <c r="F119" s="27"/>
    </row>
    <row r="120" customFormat="false" ht="23.25" hidden="false" customHeight="true" outlineLevel="0" collapsed="false">
      <c r="A120" s="3" t="s">
        <v>2281</v>
      </c>
      <c r="B120" s="3" t="s">
        <v>1349</v>
      </c>
      <c r="C120" s="3" t="s">
        <v>797</v>
      </c>
      <c r="D120" s="27"/>
      <c r="E120" s="27"/>
      <c r="F120" s="27"/>
    </row>
    <row r="121" customFormat="false" ht="34.5" hidden="false" customHeight="true" outlineLevel="0" collapsed="false">
      <c r="A121" s="3" t="s">
        <v>2227</v>
      </c>
      <c r="B121" s="3" t="s">
        <v>1350</v>
      </c>
      <c r="C121" s="3" t="s">
        <v>801</v>
      </c>
      <c r="D121" s="27"/>
      <c r="E121" s="27"/>
      <c r="F121" s="27"/>
    </row>
    <row r="122" customFormat="false" ht="23.25" hidden="false" customHeight="true" outlineLevel="0" collapsed="false">
      <c r="A122" s="3" t="s">
        <v>2229</v>
      </c>
      <c r="B122" s="3" t="s">
        <v>1351</v>
      </c>
      <c r="C122" s="3" t="s">
        <v>801</v>
      </c>
      <c r="D122" s="27"/>
      <c r="E122" s="27"/>
      <c r="F122" s="27"/>
    </row>
    <row r="123" customFormat="false" ht="15" hidden="false" customHeight="true" outlineLevel="0" collapsed="false">
      <c r="A123" s="3" t="s">
        <v>2230</v>
      </c>
      <c r="B123" s="3" t="s">
        <v>809</v>
      </c>
      <c r="C123" s="3" t="s">
        <v>804</v>
      </c>
      <c r="D123" s="27"/>
      <c r="E123" s="27"/>
      <c r="F123" s="27"/>
    </row>
    <row r="124" customFormat="false" ht="45.75" hidden="false" customHeight="true" outlineLevel="0" collapsed="false">
      <c r="A124" s="3" t="s">
        <v>2282</v>
      </c>
      <c r="B124" s="3" t="s">
        <v>1352</v>
      </c>
      <c r="C124" s="3" t="s">
        <v>797</v>
      </c>
      <c r="D124" s="27"/>
      <c r="E124" s="27"/>
      <c r="F124" s="27"/>
    </row>
    <row r="125" customFormat="false" ht="15" hidden="false" customHeight="true" outlineLevel="0" collapsed="false">
      <c r="A125" s="3" t="s">
        <v>2283</v>
      </c>
      <c r="B125" s="3" t="s">
        <v>807</v>
      </c>
      <c r="C125" s="3" t="s">
        <v>746</v>
      </c>
      <c r="D125" s="27"/>
      <c r="E125" s="27"/>
      <c r="F125" s="27"/>
    </row>
    <row r="126" customFormat="false" ht="15" hidden="false" customHeight="true" outlineLevel="0" collapsed="false">
      <c r="A126" s="3" t="s">
        <v>2284</v>
      </c>
      <c r="B126" s="3" t="s">
        <v>809</v>
      </c>
      <c r="C126" s="3" t="s">
        <v>867</v>
      </c>
      <c r="D126" s="27"/>
      <c r="E126" s="27"/>
      <c r="F126" s="27"/>
    </row>
    <row r="127" customFormat="false" ht="15" hidden="false" customHeight="true" outlineLevel="0" collapsed="false">
      <c r="A127" s="27"/>
      <c r="B127" s="27"/>
      <c r="C127" s="27"/>
      <c r="D127" s="27"/>
      <c r="E127" s="27"/>
      <c r="F127" s="27"/>
    </row>
    <row r="128" customFormat="false" ht="15" hidden="false" customHeight="true" outlineLevel="0" collapsed="false">
      <c r="A128" s="28" t="s">
        <v>2285</v>
      </c>
      <c r="B128" s="28"/>
      <c r="C128" s="28"/>
      <c r="D128" s="28"/>
      <c r="E128" s="28"/>
      <c r="F128" s="28"/>
    </row>
    <row r="129" customFormat="false" ht="15" hidden="false" customHeight="true" outlineLevel="0" collapsed="false">
      <c r="A129" s="29" t="s">
        <v>1553</v>
      </c>
      <c r="B129" s="29" t="s">
        <v>1554</v>
      </c>
      <c r="C129" s="29" t="s">
        <v>1555</v>
      </c>
      <c r="D129" s="29" t="s">
        <v>1556</v>
      </c>
      <c r="E129" s="29" t="s">
        <v>1557</v>
      </c>
      <c r="F129" s="27"/>
    </row>
    <row r="130" customFormat="false" ht="34.5" hidden="false" customHeight="true" outlineLevel="0" collapsed="false">
      <c r="A130" s="3" t="s">
        <v>1558</v>
      </c>
      <c r="B130" s="3" t="s">
        <v>2065</v>
      </c>
      <c r="C130" s="3" t="s">
        <v>2066</v>
      </c>
      <c r="D130" s="3" t="s">
        <v>2067</v>
      </c>
      <c r="E130" s="3" t="s">
        <v>2068</v>
      </c>
      <c r="F130" s="27"/>
    </row>
    <row r="131" customFormat="false" ht="23.25" hidden="false" customHeight="true" outlineLevel="0" collapsed="false">
      <c r="A131" s="3" t="s">
        <v>1558</v>
      </c>
      <c r="B131" s="3" t="s">
        <v>2069</v>
      </c>
      <c r="C131" s="3" t="s">
        <v>2070</v>
      </c>
      <c r="D131" s="3" t="s">
        <v>2071</v>
      </c>
      <c r="E131" s="3" t="s">
        <v>2072</v>
      </c>
      <c r="F131" s="27"/>
    </row>
    <row r="132" customFormat="false" ht="23.25" hidden="false" customHeight="true" outlineLevel="0" collapsed="false">
      <c r="A132" s="3" t="s">
        <v>1621</v>
      </c>
      <c r="B132" s="3" t="s">
        <v>2073</v>
      </c>
      <c r="C132" s="3" t="s">
        <v>2074</v>
      </c>
      <c r="D132" s="3" t="s">
        <v>2075</v>
      </c>
      <c r="E132" s="3" t="s">
        <v>2076</v>
      </c>
      <c r="F132" s="27"/>
    </row>
    <row r="133" customFormat="false" ht="23.25" hidden="false" customHeight="true" outlineLevel="0" collapsed="false">
      <c r="A133" s="3" t="s">
        <v>1621</v>
      </c>
      <c r="B133" s="3" t="s">
        <v>2077</v>
      </c>
      <c r="C133" s="3" t="s">
        <v>2078</v>
      </c>
      <c r="D133" s="3" t="s">
        <v>2075</v>
      </c>
      <c r="E133" s="3" t="s">
        <v>2079</v>
      </c>
      <c r="F133" s="27"/>
    </row>
    <row r="134" customFormat="false" ht="23.25" hidden="false" customHeight="true" outlineLevel="0" collapsed="false">
      <c r="A134" s="3" t="s">
        <v>1558</v>
      </c>
      <c r="B134" s="3" t="s">
        <v>2080</v>
      </c>
      <c r="C134" s="3" t="s">
        <v>2081</v>
      </c>
      <c r="D134" s="3" t="s">
        <v>2082</v>
      </c>
      <c r="E134" s="3" t="s">
        <v>2083</v>
      </c>
      <c r="F134" s="27"/>
    </row>
    <row r="135" customFormat="false" ht="23.25" hidden="false" customHeight="true" outlineLevel="0" collapsed="false">
      <c r="A135" s="3" t="s">
        <v>2084</v>
      </c>
      <c r="B135" s="3" t="s">
        <v>2085</v>
      </c>
      <c r="C135" s="3" t="s">
        <v>2086</v>
      </c>
      <c r="D135" s="3" t="s">
        <v>2087</v>
      </c>
      <c r="E135" s="3" t="s">
        <v>2088</v>
      </c>
      <c r="F135" s="27"/>
    </row>
    <row r="136" customFormat="false" ht="23.25" hidden="false" customHeight="true" outlineLevel="0" collapsed="false">
      <c r="A136" s="3" t="s">
        <v>2089</v>
      </c>
      <c r="B136" s="3" t="s">
        <v>2090</v>
      </c>
      <c r="C136" s="3" t="s">
        <v>2070</v>
      </c>
      <c r="D136" s="3" t="s">
        <v>2091</v>
      </c>
      <c r="E136" s="3" t="s">
        <v>2092</v>
      </c>
      <c r="F136" s="27"/>
    </row>
    <row r="137" customFormat="false" ht="23.25" hidden="false" customHeight="true" outlineLevel="0" collapsed="false">
      <c r="A137" s="3" t="s">
        <v>1563</v>
      </c>
      <c r="B137" s="3" t="s">
        <v>2093</v>
      </c>
      <c r="C137" s="3" t="s">
        <v>2094</v>
      </c>
      <c r="D137" s="3" t="s">
        <v>2095</v>
      </c>
      <c r="E137" s="3" t="s">
        <v>2096</v>
      </c>
      <c r="F137" s="27"/>
    </row>
    <row r="138" customFormat="false" ht="23.25" hidden="false" customHeight="true" outlineLevel="0" collapsed="false">
      <c r="A138" s="3" t="s">
        <v>1729</v>
      </c>
      <c r="B138" s="3" t="s">
        <v>2097</v>
      </c>
      <c r="C138" s="3" t="s">
        <v>2098</v>
      </c>
      <c r="D138" s="3" t="s">
        <v>2099</v>
      </c>
      <c r="E138" s="3" t="s">
        <v>2100</v>
      </c>
      <c r="F138" s="27"/>
    </row>
    <row r="139" customFormat="false" ht="34.5" hidden="false" customHeight="true" outlineLevel="0" collapsed="false">
      <c r="A139" s="3" t="s">
        <v>2101</v>
      </c>
      <c r="B139" s="3" t="s">
        <v>2102</v>
      </c>
      <c r="C139" s="3" t="s">
        <v>2103</v>
      </c>
      <c r="D139" s="3" t="s">
        <v>2075</v>
      </c>
      <c r="E139" s="3" t="s">
        <v>145</v>
      </c>
      <c r="F139" s="27"/>
    </row>
    <row r="140" customFormat="false" ht="57" hidden="false" customHeight="true" outlineLevel="0" collapsed="false">
      <c r="A140" s="3" t="s">
        <v>1596</v>
      </c>
      <c r="B140" s="3" t="s">
        <v>2104</v>
      </c>
      <c r="C140" s="3" t="s">
        <v>2105</v>
      </c>
      <c r="D140" s="3" t="s">
        <v>2075</v>
      </c>
      <c r="E140" s="3" t="s">
        <v>2106</v>
      </c>
      <c r="F140" s="27"/>
    </row>
    <row r="141" customFormat="false" ht="45.75" hidden="false" customHeight="true" outlineLevel="0" collapsed="false">
      <c r="A141" s="3" t="s">
        <v>1596</v>
      </c>
      <c r="B141" s="3" t="s">
        <v>2107</v>
      </c>
      <c r="C141" s="3" t="s">
        <v>2108</v>
      </c>
      <c r="D141" s="3" t="s">
        <v>2082</v>
      </c>
      <c r="E141" s="3" t="s">
        <v>2109</v>
      </c>
      <c r="F141" s="27"/>
    </row>
    <row r="142" customFormat="false" ht="34.5" hidden="false" customHeight="true" outlineLevel="0" collapsed="false">
      <c r="A142" s="3" t="s">
        <v>1596</v>
      </c>
      <c r="B142" s="3" t="s">
        <v>2110</v>
      </c>
      <c r="C142" s="3" t="s">
        <v>2105</v>
      </c>
      <c r="D142" s="3" t="s">
        <v>2111</v>
      </c>
      <c r="E142" s="3" t="s">
        <v>2112</v>
      </c>
      <c r="F142" s="27"/>
    </row>
    <row r="143" customFormat="false" ht="34.5" hidden="false" customHeight="true" outlineLevel="0" collapsed="false">
      <c r="A143" s="3" t="s">
        <v>1596</v>
      </c>
      <c r="B143" s="3" t="s">
        <v>2113</v>
      </c>
      <c r="C143" s="3" t="s">
        <v>2114</v>
      </c>
      <c r="D143" s="3" t="s">
        <v>2115</v>
      </c>
      <c r="E143" s="3" t="s">
        <v>2116</v>
      </c>
      <c r="F143" s="27"/>
    </row>
    <row r="144" customFormat="false" ht="34.5" hidden="false" customHeight="true" outlineLevel="0" collapsed="false">
      <c r="A144" s="3" t="s">
        <v>1596</v>
      </c>
      <c r="B144" s="3" t="s">
        <v>2117</v>
      </c>
      <c r="C144" s="3" t="s">
        <v>2114</v>
      </c>
      <c r="D144" s="3" t="s">
        <v>2118</v>
      </c>
      <c r="E144" s="3" t="s">
        <v>2119</v>
      </c>
      <c r="F144" s="27"/>
    </row>
    <row r="145" customFormat="false" ht="34.5" hidden="false" customHeight="true" outlineLevel="0" collapsed="false">
      <c r="A145" s="3" t="s">
        <v>1596</v>
      </c>
      <c r="B145" s="3" t="s">
        <v>2120</v>
      </c>
      <c r="C145" s="3" t="s">
        <v>2121</v>
      </c>
      <c r="D145" s="3" t="s">
        <v>2122</v>
      </c>
      <c r="E145" s="3" t="s">
        <v>2123</v>
      </c>
      <c r="F145" s="27"/>
    </row>
    <row r="146" customFormat="false" ht="34.5" hidden="false" customHeight="true" outlineLevel="0" collapsed="false">
      <c r="A146" s="3" t="s">
        <v>1596</v>
      </c>
      <c r="B146" s="3" t="s">
        <v>2124</v>
      </c>
      <c r="C146" s="3" t="s">
        <v>2125</v>
      </c>
      <c r="D146" s="3" t="s">
        <v>2091</v>
      </c>
      <c r="E146" s="3" t="s">
        <v>2126</v>
      </c>
      <c r="F146" s="27"/>
    </row>
    <row r="147" customFormat="false" ht="34.5" hidden="false" customHeight="true" outlineLevel="0" collapsed="false">
      <c r="A147" s="3" t="s">
        <v>1596</v>
      </c>
      <c r="B147" s="3" t="s">
        <v>2127</v>
      </c>
      <c r="C147" s="3" t="s">
        <v>2128</v>
      </c>
      <c r="D147" s="3" t="s">
        <v>2129</v>
      </c>
      <c r="E147" s="3" t="s">
        <v>2130</v>
      </c>
      <c r="F147" s="27"/>
    </row>
    <row r="148" customFormat="false" ht="34.5" hidden="false" customHeight="true" outlineLevel="0" collapsed="false">
      <c r="A148" s="3" t="s">
        <v>1596</v>
      </c>
      <c r="B148" s="3" t="s">
        <v>2131</v>
      </c>
      <c r="C148" s="3" t="s">
        <v>2132</v>
      </c>
      <c r="D148" s="3" t="s">
        <v>2133</v>
      </c>
      <c r="E148" s="3" t="s">
        <v>2134</v>
      </c>
      <c r="F148" s="27"/>
    </row>
    <row r="149" customFormat="false" ht="34.5" hidden="false" customHeight="true" outlineLevel="0" collapsed="false">
      <c r="A149" s="3" t="s">
        <v>1596</v>
      </c>
      <c r="B149" s="3" t="s">
        <v>2135</v>
      </c>
      <c r="C149" s="3" t="s">
        <v>2132</v>
      </c>
      <c r="D149" s="3" t="s">
        <v>2136</v>
      </c>
      <c r="E149" s="3" t="s">
        <v>2137</v>
      </c>
      <c r="F149" s="27"/>
    </row>
    <row r="150" customFormat="false" ht="34.5" hidden="false" customHeight="true" outlineLevel="0" collapsed="false">
      <c r="A150" s="3" t="s">
        <v>1596</v>
      </c>
      <c r="B150" s="3" t="s">
        <v>2138</v>
      </c>
      <c r="C150" s="3" t="s">
        <v>2114</v>
      </c>
      <c r="D150" s="3" t="s">
        <v>2136</v>
      </c>
      <c r="E150" s="3" t="s">
        <v>2139</v>
      </c>
      <c r="F150" s="27"/>
    </row>
    <row r="151" customFormat="false" ht="34.5" hidden="false" customHeight="true" outlineLevel="0" collapsed="false">
      <c r="A151" s="3" t="s">
        <v>1596</v>
      </c>
      <c r="B151" s="3" t="s">
        <v>2140</v>
      </c>
      <c r="C151" s="3" t="s">
        <v>2141</v>
      </c>
      <c r="D151" s="3" t="s">
        <v>2142</v>
      </c>
      <c r="E151" s="3" t="s">
        <v>2143</v>
      </c>
      <c r="F151" s="27"/>
    </row>
    <row r="152" customFormat="false" ht="34.5" hidden="false" customHeight="true" outlineLevel="0" collapsed="false">
      <c r="A152" s="3" t="s">
        <v>1596</v>
      </c>
      <c r="B152" s="3" t="s">
        <v>2144</v>
      </c>
      <c r="C152" s="3" t="s">
        <v>2145</v>
      </c>
      <c r="D152" s="3" t="s">
        <v>2142</v>
      </c>
      <c r="E152" s="3" t="s">
        <v>2146</v>
      </c>
      <c r="F152" s="27"/>
    </row>
    <row r="153" customFormat="false" ht="34.5" hidden="false" customHeight="true" outlineLevel="0" collapsed="false">
      <c r="A153" s="3" t="s">
        <v>1596</v>
      </c>
      <c r="B153" s="3" t="s">
        <v>2147</v>
      </c>
      <c r="C153" s="3" t="s">
        <v>2132</v>
      </c>
      <c r="D153" s="3" t="s">
        <v>2148</v>
      </c>
      <c r="E153" s="3" t="s">
        <v>2149</v>
      </c>
      <c r="F153" s="27"/>
    </row>
    <row r="154" customFormat="false" ht="34.5" hidden="false" customHeight="true" outlineLevel="0" collapsed="false">
      <c r="A154" s="3" t="s">
        <v>1596</v>
      </c>
      <c r="B154" s="3" t="s">
        <v>2150</v>
      </c>
      <c r="C154" s="3" t="s">
        <v>2141</v>
      </c>
      <c r="D154" s="3" t="s">
        <v>2151</v>
      </c>
      <c r="E154" s="3" t="s">
        <v>2152</v>
      </c>
      <c r="F154" s="27"/>
    </row>
    <row r="155" customFormat="false" ht="34.5" hidden="false" customHeight="true" outlineLevel="0" collapsed="false">
      <c r="A155" s="3" t="s">
        <v>1596</v>
      </c>
      <c r="B155" s="3" t="s">
        <v>2153</v>
      </c>
      <c r="C155" s="3" t="s">
        <v>2121</v>
      </c>
      <c r="D155" s="3" t="s">
        <v>2154</v>
      </c>
      <c r="E155" s="3" t="s">
        <v>2155</v>
      </c>
      <c r="F155" s="27"/>
    </row>
    <row r="156" customFormat="false" ht="15" hidden="false" customHeight="true" outlineLevel="0" collapsed="false">
      <c r="A156" s="27"/>
      <c r="B156" s="27"/>
      <c r="C156" s="27"/>
      <c r="D156" s="27"/>
      <c r="E156" s="27"/>
      <c r="F156" s="27"/>
    </row>
    <row r="157" customFormat="false" ht="15" hidden="false" customHeight="true" outlineLevel="0" collapsed="false">
      <c r="A157" s="28" t="s">
        <v>744</v>
      </c>
      <c r="B157" s="28"/>
      <c r="C157" s="28"/>
      <c r="D157" s="28"/>
      <c r="E157" s="28"/>
      <c r="F157" s="28"/>
    </row>
    <row r="158" customFormat="false" ht="15" hidden="false" customHeight="true" outlineLevel="0" collapsed="false">
      <c r="A158" s="29" t="s">
        <v>2265</v>
      </c>
      <c r="B158" s="30" t="s">
        <v>1353</v>
      </c>
      <c r="C158" s="30"/>
      <c r="D158" s="30"/>
      <c r="E158" s="30"/>
      <c r="F158"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7:F157"/>
    <mergeCell ref="B158:F1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2026-10-14T16:22:18Z</dcterms:created>
  <dc:creator>openpyxl</dc:creator>
  <dc:description/>
  <dc:language>en-US</dc:language>
  <cp:lastModifiedBy/>
  <dcterms:modified xsi:type="dcterms:W3CDTF">2026-10-14T18:30:14Z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